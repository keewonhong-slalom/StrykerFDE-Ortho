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1 - Label Modification" sheetId="1" state="visible" r:id="rId1"/>
    <sheet xmlns:r="http://schemas.openxmlformats.org/officeDocument/2006/relationships" name="UC2 - System Migration QA" sheetId="2" state="visible" r:id="rId2"/>
    <sheet xmlns:r="http://schemas.openxmlformats.org/officeDocument/2006/relationships" name="UC3 - New Label Creation" sheetId="3" state="visible" r:id="rId3"/>
    <sheet xmlns:r="http://schemas.openxmlformats.org/officeDocument/2006/relationships" name="UC4 - Compliance Assur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737373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404040"/>
      <sz val="9"/>
    </font>
    <font>
      <name val="Arial"/>
      <b val="1"/>
      <color rgb="000070C0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BA00"/>
      <sz val="9"/>
    </font>
    <font>
      <name val="Arial"/>
      <b val="1"/>
      <color rgb="000070C0"/>
      <sz val="11"/>
    </font>
    <font>
      <name val="Arial"/>
      <b val="1"/>
      <color rgb="00FFBA00"/>
      <sz val="11"/>
    </font>
    <font>
      <name val="Arial"/>
      <i val="1"/>
      <color rgb="00737373"/>
      <sz val="8"/>
    </font>
    <font>
      <name val="Arial"/>
      <b val="1"/>
      <color rgb="002E75B6"/>
      <sz val="9"/>
    </font>
    <font>
      <name val="Arial"/>
      <b val="1"/>
      <color rgb="002E75B6"/>
      <sz val="11"/>
    </font>
    <font>
      <name val="Arial"/>
      <b val="1"/>
      <color rgb="00375623"/>
      <sz val="9"/>
    </font>
    <font>
      <name val="Arial"/>
      <b val="1"/>
      <color rgb="00375623"/>
      <sz val="11"/>
    </font>
    <font>
      <name val="Arial"/>
      <b val="1"/>
      <color rgb="004B2D8A"/>
      <sz val="9"/>
    </font>
    <font>
      <name val="Arial"/>
      <b val="1"/>
      <color rgb="004B2D8A"/>
      <sz val="11"/>
    </font>
    <font>
      <name val="Arial"/>
      <b val="1"/>
      <color rgb="00FFFFFF"/>
      <sz val="12"/>
    </font>
    <font>
      <name val="Arial"/>
      <b val="1"/>
      <color rgb="001F4E79"/>
      <sz val="14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BA00"/>
      </patternFill>
    </fill>
    <fill>
      <patternFill patternType="solid">
        <fgColor rgb="00FFFFFF"/>
      </patternFill>
    </fill>
    <fill>
      <patternFill patternType="solid">
        <fgColor rgb="00FFFFD6"/>
      </patternFill>
    </fill>
    <fill>
      <patternFill patternType="solid">
        <fgColor rgb="00FFF3CC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4B2D8A"/>
      </patternFill>
    </fill>
    <fill>
      <patternFill patternType="solid">
        <fgColor rgb="00EAE4F5"/>
      </patternFill>
    </fill>
  </fills>
  <borders count="19">
    <border>
      <left/>
      <right/>
      <top/>
      <bottom/>
      <diagonal/>
    </border>
    <border>
      <bottom style="thin">
        <color rgb="00BFBFBF"/>
      </bottom>
    </border>
    <border>
      <left/>
      <right/>
      <top/>
      <bottom style="thin">
        <color rgb="00BFBFBF"/>
      </bottom>
      <diagonal/>
    </border>
    <border>
      <bottom style="medium">
        <color rgb="00FFBA00"/>
      </bottom>
    </border>
    <border>
      <bottom style="medium">
        <color rgb="002E75B6"/>
      </bottom>
    </border>
    <border>
      <bottom style="medium">
        <color rgb="00375623"/>
      </bottom>
    </border>
    <border>
      <bottom style="medium">
        <color rgb="004B2D8A"/>
      </bottom>
    </border>
    <border>
      <bottom style="medium">
        <color rgb="001F4E79"/>
      </bottom>
    </border>
    <border>
      <left/>
      <right/>
      <top/>
      <bottom style="medium">
        <color rgb="00375623"/>
      </bottom>
      <diagonal/>
    </border>
    <border>
      <right/>
      <bottom style="thin">
        <color rgb="00BFBFBF"/>
      </bottom>
    </border>
    <border>
      <left/>
      <right/>
      <top/>
      <bottom style="medium">
        <color rgb="00FFBA00"/>
      </bottom>
      <diagonal/>
    </border>
    <border>
      <left/>
      <right/>
      <top/>
      <bottom style="medium">
        <color rgb="001F4E79"/>
      </bottom>
      <diagonal/>
    </border>
    <border>
      <left/>
      <right/>
      <top/>
      <bottom style="medium">
        <color rgb="002E75B6"/>
      </bottom>
      <diagonal/>
    </border>
    <border>
      <left/>
      <right/>
      <top/>
      <bottom style="medium">
        <color rgb="004B2D8A"/>
      </bottom>
      <diagonal/>
    </border>
    <border>
      <right/>
      <bottom style="medium">
        <color rgb="00375623"/>
      </bottom>
    </border>
    <border>
      <right/>
      <bottom style="medium">
        <color rgb="00FFBA00"/>
      </bottom>
    </border>
    <border>
      <right/>
      <bottom style="medium">
        <color rgb="001F4E79"/>
      </bottom>
    </border>
    <border>
      <right/>
      <bottom style="medium">
        <color rgb="004B2D8A"/>
      </bottom>
    </border>
    <border>
      <right/>
      <bottom style="medium">
        <color rgb="002E75B6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1" fontId="6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0" fillId="0" borderId="2" pivotButton="0" quotePrefix="0" xfId="0"/>
    <xf numFmtId="0" fontId="7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2" fontId="8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right" vertical="center"/>
    </xf>
    <xf numFmtId="1" fontId="10" fillId="7" borderId="0" applyAlignment="1" pivotButton="0" quotePrefix="0" xfId="0">
      <alignment horizontal="center" vertical="center"/>
    </xf>
    <xf numFmtId="0" fontId="7" fillId="5" borderId="3" applyAlignment="1" pivotButton="0" quotePrefix="0" xfId="0">
      <alignment horizontal="left" vertical="center"/>
    </xf>
    <xf numFmtId="0" fontId="3" fillId="5" borderId="3" applyAlignment="1" pivotButton="0" quotePrefix="0" xfId="0">
      <alignment horizontal="left" vertical="center"/>
    </xf>
    <xf numFmtId="2" fontId="11" fillId="8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4" fillId="4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2" fontId="8" fillId="9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right" vertical="center"/>
    </xf>
    <xf numFmtId="0" fontId="7" fillId="4" borderId="4" applyAlignment="1" pivotButton="0" quotePrefix="0" xfId="0">
      <alignment horizontal="left" vertical="center"/>
    </xf>
    <xf numFmtId="0" fontId="3" fillId="4" borderId="4" applyAlignment="1" pivotButton="0" quotePrefix="0" xfId="0">
      <alignment horizontal="left" vertical="center"/>
    </xf>
    <xf numFmtId="2" fontId="14" fillId="9" borderId="4" applyAlignment="1" pivotButton="0" quotePrefix="0" xfId="0">
      <alignment horizontal="center" vertical="center"/>
    </xf>
    <xf numFmtId="0" fontId="12" fillId="9" borderId="4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10" borderId="1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2" fontId="8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left" vertical="center"/>
    </xf>
    <xf numFmtId="0" fontId="15" fillId="11" borderId="0" applyAlignment="1" pivotButton="0" quotePrefix="0" xfId="0">
      <alignment horizontal="right" vertical="center"/>
    </xf>
    <xf numFmtId="0" fontId="7" fillId="10" borderId="5" applyAlignment="1" pivotButton="0" quotePrefix="0" xfId="0">
      <alignment horizontal="left" vertical="center"/>
    </xf>
    <xf numFmtId="0" fontId="3" fillId="10" borderId="5" applyAlignment="1" pivotButton="0" quotePrefix="0" xfId="0">
      <alignment horizontal="left" vertical="center"/>
    </xf>
    <xf numFmtId="2" fontId="16" fillId="11" borderId="5" applyAlignment="1" pivotButton="0" quotePrefix="0" xfId="0">
      <alignment horizontal="center" vertical="center"/>
    </xf>
    <xf numFmtId="0" fontId="12" fillId="11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12" borderId="1" applyAlignment="1" pivotButton="0" quotePrefix="0" xfId="0">
      <alignment horizontal="center" vertical="center"/>
    </xf>
    <xf numFmtId="0" fontId="7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2" fontId="8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right" vertical="center"/>
    </xf>
    <xf numFmtId="0" fontId="7" fillId="12" borderId="6" applyAlignment="1" pivotButton="0" quotePrefix="0" xfId="0">
      <alignment horizontal="left" vertical="center"/>
    </xf>
    <xf numFmtId="0" fontId="3" fillId="12" borderId="6" applyAlignment="1" pivotButton="0" quotePrefix="0" xfId="0">
      <alignment horizontal="left" vertical="center"/>
    </xf>
    <xf numFmtId="2" fontId="18" fillId="13" borderId="6" applyAlignment="1" pivotButton="0" quotePrefix="0" xfId="0">
      <alignment horizontal="center" vertical="center"/>
    </xf>
    <xf numFmtId="0" fontId="12" fillId="13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19" fillId="2" borderId="7" applyAlignment="1" pivotButton="0" quotePrefix="0" xfId="0">
      <alignment horizontal="center" vertical="center"/>
    </xf>
    <xf numFmtId="0" fontId="0" fillId="0" borderId="7" pivotButton="0" quotePrefix="0" xfId="0"/>
    <xf numFmtId="2" fontId="20" fillId="9" borderId="7" applyAlignment="1" pivotButton="0" quotePrefix="0" xfId="0">
      <alignment horizontal="center" vertical="center"/>
    </xf>
    <xf numFmtId="0" fontId="12" fillId="9" borderId="7" applyAlignment="1" pivotButton="0" quotePrefix="0" xfId="0">
      <alignment horizontal="left" vertical="center"/>
    </xf>
    <xf numFmtId="0" fontId="4" fillId="5" borderId="9" applyAlignment="1" pivotButton="0" quotePrefix="0" xfId="0">
      <alignment horizontal="center" vertical="center"/>
    </xf>
    <xf numFmtId="0" fontId="7" fillId="5" borderId="10" applyAlignment="1" pivotButton="0" quotePrefix="0" xfId="0">
      <alignment horizontal="left" vertical="center"/>
    </xf>
    <xf numFmtId="0" fontId="0" fillId="0" borderId="10" pivotButton="0" quotePrefix="0" xfId="0"/>
    <xf numFmtId="0" fontId="12" fillId="8" borderId="15" applyAlignment="1" pivotButton="0" quotePrefix="0" xfId="0">
      <alignment horizontal="left" vertical="center" wrapText="1"/>
    </xf>
    <xf numFmtId="0" fontId="4" fillId="4" borderId="9" applyAlignment="1" pivotButton="0" quotePrefix="0" xfId="0">
      <alignment horizontal="center" vertical="center"/>
    </xf>
    <xf numFmtId="0" fontId="7" fillId="4" borderId="12" applyAlignment="1" pivotButton="0" quotePrefix="0" xfId="0">
      <alignment horizontal="left" vertical="center"/>
    </xf>
    <xf numFmtId="0" fontId="0" fillId="0" borderId="12" pivotButton="0" quotePrefix="0" xfId="0"/>
    <xf numFmtId="0" fontId="12" fillId="9" borderId="18" applyAlignment="1" pivotButton="0" quotePrefix="0" xfId="0">
      <alignment horizontal="left" vertical="center" wrapText="1"/>
    </xf>
    <xf numFmtId="0" fontId="4" fillId="10" borderId="9" applyAlignment="1" pivotButton="0" quotePrefix="0" xfId="0">
      <alignment horizontal="center" vertical="center"/>
    </xf>
    <xf numFmtId="0" fontId="7" fillId="10" borderId="8" applyAlignment="1" pivotButton="0" quotePrefix="0" xfId="0">
      <alignment horizontal="left" vertical="center"/>
    </xf>
    <xf numFmtId="0" fontId="0" fillId="0" borderId="8" pivotButton="0" quotePrefix="0" xfId="0"/>
    <xf numFmtId="0" fontId="12" fillId="11" borderId="14" applyAlignment="1" pivotButton="0" quotePrefix="0" xfId="0">
      <alignment horizontal="left" vertical="center" wrapText="1"/>
    </xf>
    <xf numFmtId="0" fontId="4" fillId="12" borderId="9" applyAlignment="1" pivotButton="0" quotePrefix="0" xfId="0">
      <alignment horizontal="center" vertical="center"/>
    </xf>
    <xf numFmtId="0" fontId="7" fillId="12" borderId="13" applyAlignment="1" pivotButton="0" quotePrefix="0" xfId="0">
      <alignment horizontal="left" vertical="center"/>
    </xf>
    <xf numFmtId="0" fontId="0" fillId="0" borderId="13" pivotButton="0" quotePrefix="0" xfId="0"/>
    <xf numFmtId="0" fontId="12" fillId="13" borderId="17" applyAlignment="1" pivotButton="0" quotePrefix="0" xfId="0">
      <alignment horizontal="left" vertical="center" wrapText="1"/>
    </xf>
    <xf numFmtId="0" fontId="19" fillId="2" borderId="16" applyAlignment="1" pivotButton="0" quotePrefix="0" xfId="0">
      <alignment horizontal="center" vertical="center"/>
    </xf>
    <xf numFmtId="0" fontId="0" fillId="0" borderId="11" pivotButton="0" quotePrefix="0" xfId="0"/>
    <xf numFmtId="0" fontId="12" fillId="9" borderId="1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STRYKER USE CASE SCORING TEMPLATE</t>
        </is>
      </c>
    </row>
    <row r="2" ht="22" customHeight="1">
      <c r="A2" s="2" t="inlineStr">
        <is>
          <t>Score each question 1–5. Bucket Aggregate = average of question scores. Weighted Score = Aggregate × Bucket Weight. Final Score = sum of all Weighted Scores.</t>
        </is>
      </c>
    </row>
    <row r="3" ht="28" customHeight="1">
      <c r="A3" s="3" t="inlineStr">
        <is>
          <t>CRITERIA</t>
        </is>
      </c>
      <c r="B3" s="3" t="inlineStr">
        <is>
          <t>QUESTION</t>
        </is>
      </c>
      <c r="C3" s="3" t="inlineStr">
        <is>
          <t>Question Score
(1–5, see guide)</t>
        </is>
      </c>
      <c r="E3" s="3" t="inlineStr">
        <is>
          <t>Bucket Configuration</t>
        </is>
      </c>
    </row>
    <row r="4" ht="30" customHeight="1">
      <c r="A4" s="57" t="inlineStr">
        <is>
          <t>VALUE</t>
        </is>
      </c>
      <c r="B4" s="5" t="inlineStr">
        <is>
          <t>Who is the audience? Who is impacted? How many users?</t>
        </is>
      </c>
      <c r="C4" s="6" t="n">
        <v>3</v>
      </c>
      <c r="D4" s="7" t="inlineStr">
        <is>
          <t>Core users: Labeling + RA (~10-25 people). Small but cross-team coordination required on every review.</t>
        </is>
      </c>
      <c r="E4" s="7" t="n"/>
      <c r="F4" s="7" t="n"/>
    </row>
    <row r="5" ht="30" customHeight="1">
      <c r="B5" s="5" t="inlineStr">
        <is>
          <t>What are the 2–3 challenges/friction points that need to be solved? What happens if unaddressed?</t>
        </is>
      </c>
      <c r="C5" s="6" t="n">
        <v>4</v>
      </c>
      <c r="D5" s="7" t="inlineStr">
        <is>
          <t>Two independent reviews (Labeling+RA) per cycle; 9 cross-functional approvers; errors caught late at preview stage.</t>
        </is>
      </c>
      <c r="E5" s="7" t="n"/>
      <c r="F5" s="7" t="n"/>
    </row>
    <row r="6" ht="30" customHeight="1">
      <c r="B6" s="5" t="inlineStr">
        <is>
          <t>How impactful is the challenge? What is the pain of not doing this work?</t>
        </is>
      </c>
      <c r="C6" s="6" t="n">
        <v>4</v>
      </c>
      <c r="D6" s="7" t="inlineStr">
        <is>
          <t>Historical benchmarks confirm large-scale pain: Brexit 1,487 hrs; CE Removal 314 hrs; MRI 221 hrs saved.</t>
        </is>
      </c>
      <c r="E6" s="7" t="n"/>
      <c r="F6" s="7" t="n"/>
    </row>
    <row r="7" ht="30" customHeight="1">
      <c r="B7" s="5" t="inlineStr">
        <is>
          <t>What is the speed benefit? (e.g. needle in a haystack)</t>
        </is>
      </c>
      <c r="C7" s="6" t="n">
        <v>5</v>
      </c>
      <c r="D7" s="7" t="inlineStr">
        <is>
          <t>120x speedup: 10 min/label to 5 sec/label. ~332 hours saved per 1,000 labels combined Labeling + RA.</t>
        </is>
      </c>
      <c r="E7" s="7" t="n"/>
      <c r="F7" s="7" t="n"/>
    </row>
    <row r="8" ht="30" customHeight="1">
      <c r="B8" s="5" t="inlineStr">
        <is>
          <t>What is the cost of a false positive / false negative? What is the current efficacy?</t>
        </is>
      </c>
      <c r="C8" s="6" t="n">
        <v>4</v>
      </c>
      <c r="D8" s="7" t="inlineStr">
        <is>
          <t>FN risk LOW (second review backstop exists). FP risk MINIMAL (mirrors current manual step). Process works but slow.</t>
        </is>
      </c>
      <c r="E8" s="7" t="n"/>
      <c r="F8" s="7" t="n"/>
    </row>
    <row r="9" ht="30" customHeight="1">
      <c r="B9" s="5" t="inlineStr">
        <is>
          <t>Can we measure success? What are the OKRs/KPIs and metrics?</t>
        </is>
      </c>
      <c r="C9" s="6" t="n">
        <v>3</v>
      </c>
      <c r="D9" s="7" t="inlineStr">
        <is>
          <t>Metrics clear (cycle time, hours saved, error rate) but not currently tracked. Baseline must be established.</t>
        </is>
      </c>
      <c r="E9" s="7" t="n"/>
      <c r="F9" s="7" t="n"/>
    </row>
    <row r="10" ht="30" customHeight="1">
      <c r="A10" s="8" t="n"/>
      <c r="B10" s="5" t="inlineStr">
        <is>
          <t>How much human intervention is needed in the end-goal?</t>
        </is>
      </c>
      <c r="C10" s="6" t="n">
        <v>3</v>
      </c>
      <c r="D10" s="7" t="inlineStr">
        <is>
          <t>Human oversight still needed: exception review, cert sign-off, edge cases. Not zero-touch.</t>
        </is>
      </c>
      <c r="E10" s="7" t="n"/>
      <c r="F10" s="7" t="n"/>
    </row>
    <row r="11" ht="22" customHeight="1">
      <c r="A11" s="58" t="n"/>
      <c r="B11" s="10" t="inlineStr">
        <is>
          <t>Bucket Aggregate (avg of question scores)</t>
        </is>
      </c>
      <c r="C11" s="11">
        <f>IFERROR(AVERAGE(C4:C10),"")</f>
        <v/>
      </c>
      <c r="D11" s="12" t="n"/>
      <c r="E11" s="13" t="inlineStr">
        <is>
          <t>Bucket Weight (editable):</t>
        </is>
      </c>
      <c r="F11" s="14" t="n">
        <v>5</v>
      </c>
    </row>
    <row r="12" ht="22" customHeight="1">
      <c r="A12" s="59" t="n"/>
      <c r="B12" s="16" t="inlineStr">
        <is>
          <t>Weighted Score  (aggregate × bucket weight)</t>
        </is>
      </c>
      <c r="C12" s="17">
        <f>IFERROR(C11*F11,"")</f>
        <v/>
      </c>
      <c r="D12" s="60" t="inlineStr">
        <is>
          <t>1 = no clear value  |  5 = high efficiency gains / significant revenue or risk impact</t>
        </is>
      </c>
      <c r="E12" s="59" t="n"/>
      <c r="F12" s="59" t="n"/>
    </row>
    <row r="13" ht="6" customHeight="1"/>
    <row r="14" ht="30" customHeight="1">
      <c r="A14" s="61" t="inlineStr">
        <is>
          <t>COST</t>
        </is>
      </c>
      <c r="B14" s="5" t="inlineStr">
        <is>
          <t>What is the cost of making this production-ready?</t>
        </is>
      </c>
      <c r="C14" s="6" t="n">
        <v>2</v>
      </c>
      <c r="D14" s="7" t="inlineStr">
        <is>
          <t>Validated custom solution required. Copilot (not validated, large PDF issues) and Adobe Acrobat DC both evaluated and ruled out.</t>
        </is>
      </c>
      <c r="E14" s="7" t="n"/>
      <c r="F14" s="7" t="n"/>
    </row>
    <row r="15" ht="30" customHeight="1">
      <c r="B15" s="5" t="inlineStr">
        <is>
          <t>How hard is it to create the production data pipeline?</t>
        </is>
      </c>
      <c r="C15" s="6" t="n">
        <v>3</v>
      </c>
      <c r="D15" s="7" t="inlineStr">
        <is>
          <t>Multi-modal inputs: structured Excel + semi-structured label image/PDF. Moderate complexity.</t>
        </is>
      </c>
      <c r="E15" s="7" t="n"/>
      <c r="F15" s="7" t="n"/>
    </row>
    <row r="16" ht="30" customHeight="1">
      <c r="B16" s="5" t="inlineStr">
        <is>
          <t>Is there a UI needed? What does it need to demonstrate?</t>
        </is>
      </c>
      <c r="C16" s="6" t="n">
        <v>3</v>
      </c>
      <c r="D16" s="7" t="inlineStr">
        <is>
          <t>Lightweight UI: upload Source of Truth + label preview to get comparison report.</t>
        </is>
      </c>
      <c r="E16" s="7" t="n"/>
      <c r="F16" s="7" t="n"/>
    </row>
    <row r="17" ht="30" customHeight="1">
      <c r="B17" s="5" t="inlineStr">
        <is>
          <t>How well-defined is the business case? How long until the benefit is realized?</t>
        </is>
      </c>
      <c r="C17" s="6" t="n">
        <v>4</v>
      </c>
      <c r="D17" s="7" t="inlineStr">
        <is>
          <t>Business case very well-defined. Time studies done, historical benchmarks exist. Benefit realized immediately post-deploy.</t>
        </is>
      </c>
      <c r="E17" s="7" t="n"/>
      <c r="F17" s="7" t="n"/>
    </row>
    <row r="18" ht="30" customHeight="1">
      <c r="B18" s="5" t="inlineStr">
        <is>
          <t>Are there regulatory hurdles? How might they impact timeline and complexity?</t>
        </is>
      </c>
      <c r="C18" s="6" t="n">
        <v>2</v>
      </c>
      <c r="D18" s="7" t="inlineStr">
        <is>
          <t>Formal tool validation required in medical device context. onePLM cert format unknown.</t>
        </is>
      </c>
      <c r="E18" s="7" t="n"/>
      <c r="F18" s="7" t="n"/>
    </row>
    <row r="19" ht="30" customHeight="1">
      <c r="A19" s="8" t="n"/>
      <c r="B19" s="5" t="inlineStr">
        <is>
          <t>Are metrics being tracked now, or does tracking need to be built?</t>
        </is>
      </c>
      <c r="C19" s="6" t="n">
        <v>2</v>
      </c>
      <c r="D19" s="7" t="inlineStr">
        <is>
          <t>No metrics currently tracked. Tracking infrastructure must be built alongside the tool.</t>
        </is>
      </c>
      <c r="E19" s="7" t="n"/>
      <c r="F19" s="7" t="n"/>
    </row>
    <row r="20" ht="22" customHeight="1">
      <c r="A20" s="62" t="n"/>
      <c r="B20" s="22" t="inlineStr">
        <is>
          <t>Bucket Aggregate (avg of question scores)</t>
        </is>
      </c>
      <c r="C20" s="23">
        <f>IFERROR(AVERAGE(C14:C19),"")</f>
        <v/>
      </c>
      <c r="D20" s="24" t="n"/>
      <c r="E20" s="25" t="inlineStr">
        <is>
          <t>Bucket Weight (editable):</t>
        </is>
      </c>
      <c r="F20" s="14" t="n">
        <v>2</v>
      </c>
    </row>
    <row r="21" ht="22" customHeight="1">
      <c r="A21" s="63" t="n"/>
      <c r="B21" s="27" t="inlineStr">
        <is>
          <t>Weighted Score  (aggregate × bucket weight)</t>
        </is>
      </c>
      <c r="C21" s="28">
        <f>IFERROR(C20*F20,"")</f>
        <v/>
      </c>
      <c r="D21" s="64" t="inlineStr">
        <is>
          <t>1 = very costly  |  5 = very affordable</t>
        </is>
      </c>
      <c r="E21" s="63" t="n"/>
      <c r="F21" s="63" t="n"/>
    </row>
    <row r="22" ht="6" customHeight="1"/>
    <row r="23" ht="30" customHeight="1">
      <c r="A23" s="65" t="inlineStr">
        <is>
          <t>EFFORT</t>
        </is>
      </c>
      <c r="B23" s="5" t="inlineStr">
        <is>
          <t>Can we build a prototype that proves the case in 48 hrs / 1 week / 2 weeks?</t>
        </is>
      </c>
      <c r="C23" s="6" t="n">
        <v>4</v>
      </c>
      <c r="D23" s="7" t="inlineStr">
        <is>
          <t>1-2 week prototype feasible on a before/after label example.</t>
        </is>
      </c>
      <c r="E23" s="7" t="n"/>
      <c r="F23" s="7" t="n"/>
    </row>
    <row r="24" ht="30" customHeight="1">
      <c r="B24" s="5" t="inlineStr">
        <is>
          <t>What are the risks that would prevent the prototype from being completed?</t>
        </is>
      </c>
      <c r="C24" s="6" t="n">
        <v>3</v>
      </c>
      <c r="D24" s="7" t="inlineStr">
        <is>
          <t>Risks: defining same vs. different rules; securing before/after sample labels. Both manageable with Stryker cooperation.</t>
        </is>
      </c>
      <c r="E24" s="7" t="n"/>
      <c r="F24" s="7" t="n"/>
    </row>
    <row r="25" ht="30" customHeight="1">
      <c r="B25" s="5" t="inlineStr">
        <is>
          <t>What does the prototype need to demonstrate? What is the happy path journey?</t>
        </is>
      </c>
      <c r="C25" s="6" t="n">
        <v>4</v>
      </c>
      <c r="D25" s="7" t="inlineStr">
        <is>
          <t>Clear happy path: Source of Truth (Excel) + label preview (PDF) to comparison report flagging diffs.</t>
        </is>
      </c>
      <c r="E25" s="7" t="n"/>
      <c r="F25" s="7" t="n"/>
    </row>
    <row r="26" ht="30" customHeight="1">
      <c r="B26" s="5" t="inlineStr">
        <is>
          <t>Does the data exist today in accessible form? Can it be synthesized if not?</t>
        </is>
      </c>
      <c r="C26" s="6" t="n">
        <v>4</v>
      </c>
      <c r="D26" s="7" t="inlineStr">
        <is>
          <t>Source of Truth exists (Excel). Label previews in Prisym. Before/after revision examples should exist.</t>
        </is>
      </c>
      <c r="E26" s="7" t="n"/>
      <c r="F26" s="7" t="n"/>
    </row>
    <row r="27" ht="30" customHeight="1">
      <c r="B27" s="5" t="inlineStr">
        <is>
          <t>How data-dependent is the use case?</t>
        </is>
      </c>
      <c r="C27" s="6" t="n">
        <v>4</v>
      </c>
      <c r="D27" s="7" t="inlineStr">
        <is>
          <t>Highly data-dependent but data exists today. Dependency is on access, not on creation.</t>
        </is>
      </c>
      <c r="E27" s="7" t="n"/>
      <c r="F27" s="7" t="n"/>
    </row>
    <row r="28" ht="30" customHeight="1">
      <c r="B28" s="5" t="inlineStr">
        <is>
          <t>What is the volume and quality of the data? Is it structured? Is there metadata?</t>
        </is>
      </c>
      <c r="C28" s="6" t="n">
        <v>3</v>
      </c>
      <c r="D28" s="7" t="inlineStr">
        <is>
          <t>Source of Truth: structured Excel (high quality). Label outputs: semi-structured PDF. Image side adds complexity.</t>
        </is>
      </c>
      <c r="E28" s="7" t="n"/>
      <c r="F28" s="7" t="n"/>
    </row>
    <row r="29" ht="30" customHeight="1">
      <c r="B29" s="5" t="inlineStr">
        <is>
          <t>What system is the data in? Can we access it? Can we get a working sample?</t>
        </is>
      </c>
      <c r="C29" s="6" t="n">
        <v>3</v>
      </c>
      <c r="D29" s="7" t="inlineStr">
        <is>
          <t>Prisym 1.6 for labels; Excel for Source of Truth. System access not yet confirmed.</t>
        </is>
      </c>
      <c r="E29" s="7" t="n"/>
      <c r="F29" s="7" t="n"/>
    </row>
    <row r="30" ht="30" customHeight="1">
      <c r="A30" s="8" t="n"/>
      <c r="B30" s="5" t="inlineStr">
        <is>
          <t>Is the data disparate or in one area?</t>
        </is>
      </c>
      <c r="C30" s="6" t="n">
        <v>4</v>
      </c>
      <c r="D30" s="7" t="inlineStr">
        <is>
          <t>Two well-defined sources (Excel + Prisym). Clean pairing mechanism exists.</t>
        </is>
      </c>
      <c r="E30" s="7" t="n"/>
      <c r="F30" s="7" t="n"/>
    </row>
    <row r="31" ht="22" customHeight="1">
      <c r="A31" s="66" t="n"/>
      <c r="B31" s="33" t="inlineStr">
        <is>
          <t>Bucket Aggregate (avg of question scores)</t>
        </is>
      </c>
      <c r="C31" s="34">
        <f>IFERROR(AVERAGE(C23:C30),"")</f>
        <v/>
      </c>
      <c r="D31" s="35" t="n"/>
      <c r="E31" s="36" t="inlineStr">
        <is>
          <t>Bucket Weight (editable):</t>
        </is>
      </c>
      <c r="F31" s="14" t="n">
        <v>3</v>
      </c>
    </row>
    <row r="32" ht="22" customHeight="1">
      <c r="A32" s="67" t="n"/>
      <c r="B32" s="38" t="inlineStr">
        <is>
          <t>Weighted Score  (aggregate × bucket weight)</t>
        </is>
      </c>
      <c r="C32" s="39">
        <f>IFERROR(C31*F31,"")</f>
        <v/>
      </c>
      <c r="D32" s="68" t="inlineStr">
        <is>
          <t>1 = most difficult  |  5 = easiest</t>
        </is>
      </c>
      <c r="E32" s="67" t="n"/>
      <c r="F32" s="67" t="n"/>
    </row>
    <row r="33" ht="6" customHeight="1"/>
    <row r="34" ht="30" customHeight="1">
      <c r="A34" s="69" t="inlineStr">
        <is>
          <t>REACH</t>
        </is>
      </c>
      <c r="B34" s="5" t="inlineStr">
        <is>
          <t>How reusable is the solution across teams or use cases?</t>
        </is>
      </c>
      <c r="C34" s="6" t="n">
        <v>5</v>
      </c>
      <c r="D34" s="7" t="inlineStr">
        <is>
          <t>JR + Trauma + global labeling platform. Same AI core directly reusable for UC2 System Migration QA.</t>
        </is>
      </c>
      <c r="E34" s="7" t="n"/>
      <c r="F34" s="7" t="n"/>
    </row>
    <row r="35" ht="30" customHeight="1">
      <c r="B35" s="5" t="inlineStr">
        <is>
          <t>Does this amplify AI strategy throughout Stryker?</t>
        </is>
      </c>
      <c r="C35" s="6" t="n">
        <v>4</v>
      </c>
      <c r="D35" s="7" t="inlineStr">
        <is>
          <t>Positions AI as a validated compliance tool for Stryker. Aligns with Innovation Excellence AI mandate.</t>
        </is>
      </c>
      <c r="E35" s="7" t="n"/>
      <c r="F35" s="7" t="n"/>
    </row>
    <row r="36" ht="30" customHeight="1">
      <c r="B36" s="5" t="inlineStr">
        <is>
          <t>Is this a business strategic priority?</t>
        </is>
      </c>
      <c r="C36" s="6" t="n">
        <v>3</v>
      </c>
      <c r="D36" s="7" t="inlineStr">
        <is>
          <t>Operational efficiency and compliance are priorities, but not a top-line growth initiative.</t>
        </is>
      </c>
      <c r="E36" s="7" t="n"/>
      <c r="F36" s="7" t="n"/>
    </row>
    <row r="37" ht="30" customHeight="1">
      <c r="B37" s="5" t="inlineStr">
        <is>
          <t>Does this involve key partnerships or represent a quick win?</t>
        </is>
      </c>
      <c r="C37" s="6" t="n">
        <v>4</v>
      </c>
      <c r="D37" s="7" t="inlineStr">
        <is>
          <t>Quick win: 1-2 week prototype, accessible data, clear ROI. Deliverable before System Migration needs it in 2027.</t>
        </is>
      </c>
      <c r="E37" s="7" t="n"/>
      <c r="F37" s="7" t="n"/>
    </row>
    <row r="38" ht="30" customHeight="1">
      <c r="A38" s="8" t="n"/>
      <c r="B38" s="5" t="inlineStr">
        <is>
          <t>How does the prototype prove the business case beyond the immediate use case?</t>
        </is>
      </c>
      <c r="C38" s="6" t="n">
        <v>4</v>
      </c>
      <c r="D38" s="7" t="inlineStr">
        <is>
          <t>Same prototype directly challenges $247,560 Falcon Tool cost for UC2. Proves value before migration starts.</t>
        </is>
      </c>
      <c r="E38" s="7" t="n"/>
      <c r="F38" s="7" t="n"/>
    </row>
    <row r="39" ht="22" customHeight="1">
      <c r="A39" s="70" t="n"/>
      <c r="B39" s="44" t="inlineStr">
        <is>
          <t>Bucket Aggregate (avg of question scores)</t>
        </is>
      </c>
      <c r="C39" s="45">
        <f>IFERROR(AVERAGE(C34:C38),"")</f>
        <v/>
      </c>
      <c r="D39" s="46" t="n"/>
      <c r="E39" s="47" t="inlineStr">
        <is>
          <t>Bucket Weight (editable):</t>
        </is>
      </c>
      <c r="F39" s="14" t="n">
        <v>4</v>
      </c>
    </row>
    <row r="40" ht="22" customHeight="1">
      <c r="A40" s="71" t="n"/>
      <c r="B40" s="49" t="inlineStr">
        <is>
          <t>Weighted Score  (aggregate × bucket weight)</t>
        </is>
      </c>
      <c r="C40" s="50">
        <f>IFERROR(C39*F39,"")</f>
        <v/>
      </c>
      <c r="D40" s="72" t="inlineStr">
        <is>
          <t>1 = most niche  |  5 = broad and reusable</t>
        </is>
      </c>
      <c r="E40" s="71" t="n"/>
      <c r="F40" s="71" t="n"/>
    </row>
    <row r="41" ht="6" customHeight="1"/>
    <row r="42" ht="30" customHeight="1">
      <c r="A42" s="73" t="inlineStr">
        <is>
          <t>FINAL COMPOSITE SCORE</t>
        </is>
      </c>
      <c r="B42" s="74" t="n"/>
      <c r="C42" s="55">
        <f>IFERROR(C12+C21+C32+C40,"")</f>
        <v/>
      </c>
      <c r="D42" s="75" t="inlineStr">
        <is>
          <t>Max possible score = 70  (all 5s, default weights)  |  Risk modifier: Risk = Effort / Cost</t>
        </is>
      </c>
      <c r="E42" s="74" t="n"/>
      <c r="F42" s="74" t="n"/>
    </row>
  </sheetData>
  <mergeCells count="22">
    <mergeCell ref="D32:F32"/>
    <mergeCell ref="B20"/>
    <mergeCell ref="A2:F2"/>
    <mergeCell ref="A4:A10"/>
    <mergeCell ref="D12:F12"/>
    <mergeCell ref="B31"/>
    <mergeCell ref="D42:F42"/>
    <mergeCell ref="A34:A38"/>
    <mergeCell ref="B39"/>
    <mergeCell ref="B11"/>
    <mergeCell ref="A42:B42"/>
    <mergeCell ref="A20:A21"/>
    <mergeCell ref="A14:A19"/>
    <mergeCell ref="A1:F1"/>
    <mergeCell ref="A39:A40"/>
    <mergeCell ref="D40:F40"/>
    <mergeCell ref="A23:A30"/>
    <mergeCell ref="A31:A32"/>
    <mergeCell ref="E3:F3"/>
    <mergeCell ref="D21:F21"/>
    <mergeCell ref="C3:D3"/>
    <mergeCell ref="A11:A12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STRYKER USE CASE SCORING TEMPLATE</t>
        </is>
      </c>
    </row>
    <row r="2" ht="22" customHeight="1">
      <c r="A2" s="2" t="inlineStr">
        <is>
          <t>Score each question 1–5. Bucket Aggregate = average of question scores. Weighted Score = Aggregate × Bucket Weight. Final Score = sum of all Weighted Scores.</t>
        </is>
      </c>
    </row>
    <row r="3" ht="28" customHeight="1">
      <c r="A3" s="3" t="inlineStr">
        <is>
          <t>CRITERIA</t>
        </is>
      </c>
      <c r="B3" s="3" t="inlineStr">
        <is>
          <t>QUESTION</t>
        </is>
      </c>
      <c r="C3" s="3" t="inlineStr">
        <is>
          <t>Question Score
(1–5, see guide)</t>
        </is>
      </c>
      <c r="E3" s="3" t="inlineStr">
        <is>
          <t>Bucket Configuration</t>
        </is>
      </c>
    </row>
    <row r="4" ht="30" customHeight="1">
      <c r="A4" s="57" t="inlineStr">
        <is>
          <t>VALUE</t>
        </is>
      </c>
      <c r="B4" s="5" t="inlineStr">
        <is>
          <t>Who is the audience? Who is impacted? How many users?</t>
        </is>
      </c>
      <c r="C4" s="6" t="n">
        <v>3</v>
      </c>
      <c r="D4" s="7" t="inlineStr">
        <is>
          <t>Labeling + IT/migration team + compliance + RA. Similar audience size to UC1.</t>
        </is>
      </c>
      <c r="E4" s="7" t="n"/>
      <c r="F4" s="7" t="n"/>
    </row>
    <row r="5" ht="30" customHeight="1">
      <c r="B5" s="5" t="inlineStr">
        <is>
          <t>What are the 2–3 challenges/friction points that need to be solved? What happens if unaddressed?</t>
        </is>
      </c>
      <c r="C5" s="6" t="n">
        <v>5</v>
      </c>
      <c r="D5" s="7" t="inlineStr">
        <is>
          <t>12K labels infeasible to review manually (19 months). Falcon Tool $247K and may flag everything due to layout diffs. ETL errors invisible until preview.</t>
        </is>
      </c>
      <c r="E5" s="7" t="n"/>
      <c r="F5" s="7" t="n"/>
    </row>
    <row r="6" ht="30" customHeight="1">
      <c r="B6" s="5" t="inlineStr">
        <is>
          <t>How impactful is the challenge? What is the pain of not doing this work?</t>
        </is>
      </c>
      <c r="C6" s="6" t="n">
        <v>5</v>
      </c>
      <c r="D6" s="7" t="inlineStr">
        <is>
          <t>3,000 hours of review time for full catalog. Direct $247K alternative cost comparison. Highest-scale pain in portfolio.</t>
        </is>
      </c>
      <c r="E6" s="7" t="n"/>
      <c r="F6" s="7" t="n"/>
    </row>
    <row r="7" ht="30" customHeight="1">
      <c r="B7" s="5" t="inlineStr">
        <is>
          <t>What is the speed benefit? (e.g. needle in a haystack)</t>
        </is>
      </c>
      <c r="C7" s="6" t="n">
        <v>5</v>
      </c>
      <c r="D7" s="7" t="inlineStr">
        <is>
          <t>3,000 hours to 16 hours. ~187x speedup. Most extreme speed benefit of all four use cases.</t>
        </is>
      </c>
      <c r="E7" s="7" t="n"/>
      <c r="F7" s="7" t="n"/>
    </row>
    <row r="8" ht="30" customHeight="1">
      <c r="B8" s="5" t="inlineStr">
        <is>
          <t>What is the cost of a false positive / false negative? What is the current efficacy?</t>
        </is>
      </c>
      <c r="C8" s="6" t="n">
        <v>3</v>
      </c>
      <c r="D8" s="7" t="inlineStr">
        <is>
          <t>FN cost HIGH: bad label in production is compliance/safety risk. Current efficacy: no automation exists.</t>
        </is>
      </c>
      <c r="E8" s="7" t="n"/>
      <c r="F8" s="7" t="n"/>
    </row>
    <row r="9" ht="30" customHeight="1">
      <c r="B9" s="5" t="inlineStr">
        <is>
          <t>Can we measure success? What are the OKRs/KPIs and metrics?</t>
        </is>
      </c>
      <c r="C9" s="6" t="n">
        <v>4</v>
      </c>
      <c r="D9" s="7" t="inlineStr">
        <is>
          <t>Clear metrics: labels reviewed, errors caught, time saved, cost vs. $247K Falcon Tool baseline.</t>
        </is>
      </c>
      <c r="E9" s="7" t="n"/>
      <c r="F9" s="7" t="n"/>
    </row>
    <row r="10" ht="30" customHeight="1">
      <c r="A10" s="8" t="n"/>
      <c r="B10" s="5" t="inlineStr">
        <is>
          <t>How much human intervention is needed in the end-goal?</t>
        </is>
      </c>
      <c r="C10" s="6" t="n">
        <v>3</v>
      </c>
      <c r="D10" s="7" t="inlineStr">
        <is>
          <t>Flagged items still require human review. Bulk validation automated but exceptions are human-owned.</t>
        </is>
      </c>
      <c r="E10" s="7" t="n"/>
      <c r="F10" s="7" t="n"/>
    </row>
    <row r="11" ht="22" customHeight="1">
      <c r="A11" s="58" t="n"/>
      <c r="B11" s="10" t="inlineStr">
        <is>
          <t>Bucket Aggregate (avg of question scores)</t>
        </is>
      </c>
      <c r="C11" s="11">
        <f>IFERROR(AVERAGE(C4:C10),"")</f>
        <v/>
      </c>
      <c r="D11" s="12" t="n"/>
      <c r="E11" s="13" t="inlineStr">
        <is>
          <t>Bucket Weight (editable):</t>
        </is>
      </c>
      <c r="F11" s="14" t="n">
        <v>5</v>
      </c>
    </row>
    <row r="12" ht="22" customHeight="1">
      <c r="A12" s="59" t="n"/>
      <c r="B12" s="16" t="inlineStr">
        <is>
          <t>Weighted Score  (aggregate × bucket weight)</t>
        </is>
      </c>
      <c r="C12" s="17">
        <f>IFERROR(C11*F11,"")</f>
        <v/>
      </c>
      <c r="D12" s="18" t="inlineStr">
        <is>
          <t>1 = no clear value  |  5 = high efficiency gains / significant revenue or risk impact</t>
        </is>
      </c>
      <c r="E12" s="59" t="n"/>
      <c r="F12" s="59" t="n"/>
    </row>
    <row r="13" ht="6" customHeight="1"/>
    <row r="14" ht="30" customHeight="1">
      <c r="A14" s="61" t="inlineStr">
        <is>
          <t>COST</t>
        </is>
      </c>
      <c r="B14" s="5" t="inlineStr">
        <is>
          <t>What is the cost of making this production-ready?</t>
        </is>
      </c>
      <c r="C14" s="6" t="n">
        <v>1</v>
      </c>
      <c r="D14" s="7" t="inlineStr">
        <is>
          <t>Very high. Requires bulk export from two Prisym systems, one of which does not exist yet.</t>
        </is>
      </c>
      <c r="E14" s="7" t="n"/>
      <c r="F14" s="7" t="n"/>
    </row>
    <row r="15" ht="30" customHeight="1">
      <c r="B15" s="5" t="inlineStr">
        <is>
          <t>How hard is it to create the production data pipeline?</t>
        </is>
      </c>
      <c r="C15" s="6" t="n">
        <v>1</v>
      </c>
      <c r="D15" s="7" t="inlineStr">
        <is>
          <t>Very hard. Needs programmatic access to both Prisym 1.6 and Prisym 360 (not available) plus label ID pairing key.</t>
        </is>
      </c>
      <c r="E15" s="7" t="n"/>
      <c r="F15" s="7" t="n"/>
    </row>
    <row r="16" ht="30" customHeight="1">
      <c r="B16" s="5" t="inlineStr">
        <is>
          <t>Is there a UI needed? What does it need to demonstrate?</t>
        </is>
      </c>
      <c r="C16" s="6" t="n">
        <v>3</v>
      </c>
      <c r="D16" s="7" t="inlineStr">
        <is>
          <t>Batch UI concept is straightforward (upload old set, upload new set, get report). UI is not the complexity.</t>
        </is>
      </c>
      <c r="E16" s="7" t="n"/>
      <c r="F16" s="7" t="n"/>
    </row>
    <row r="17" ht="30" customHeight="1">
      <c r="B17" s="5" t="inlineStr">
        <is>
          <t>How well-defined is the business case? How long until the benefit is realized?</t>
        </is>
      </c>
      <c r="C17" s="6" t="n">
        <v>2</v>
      </c>
      <c r="D17" s="7" t="inlineStr">
        <is>
          <t>Business case clear but benefit not realized until mid-2027+. Long runway reduces near-term score.</t>
        </is>
      </c>
      <c r="E17" s="7" t="n"/>
      <c r="F17" s="7" t="n"/>
    </row>
    <row r="18" ht="30" customHeight="1">
      <c r="B18" s="5" t="inlineStr">
        <is>
          <t>Are there regulatory hurdles? How might they impact timeline and complexity?</t>
        </is>
      </c>
      <c r="C18" s="6" t="n">
        <v>2</v>
      </c>
      <c r="D18" s="7" t="inlineStr">
        <is>
          <t>Full tool validation + onePLM cert required. Same as UC1 plus additional system integration complexity.</t>
        </is>
      </c>
      <c r="E18" s="7" t="n"/>
      <c r="F18" s="7" t="n"/>
    </row>
    <row r="19" ht="30" customHeight="1">
      <c r="A19" s="8" t="n"/>
      <c r="B19" s="5" t="inlineStr">
        <is>
          <t>Are metrics being tracked now, or does tracking need to be built?</t>
        </is>
      </c>
      <c r="C19" s="6" t="n">
        <v>2</v>
      </c>
      <c r="D19" s="7" t="inlineStr">
        <is>
          <t>Not tracked. Must be built.</t>
        </is>
      </c>
      <c r="E19" s="7" t="n"/>
      <c r="F19" s="7" t="n"/>
    </row>
    <row r="20" ht="22" customHeight="1">
      <c r="A20" s="62" t="n"/>
      <c r="B20" s="22" t="inlineStr">
        <is>
          <t>Bucket Aggregate (avg of question scores)</t>
        </is>
      </c>
      <c r="C20" s="23">
        <f>IFERROR(AVERAGE(C14:C19),"")</f>
        <v/>
      </c>
      <c r="D20" s="24" t="n"/>
      <c r="E20" s="25" t="inlineStr">
        <is>
          <t>Bucket Weight (editable):</t>
        </is>
      </c>
      <c r="F20" s="14" t="n">
        <v>2</v>
      </c>
    </row>
    <row r="21" ht="22" customHeight="1">
      <c r="A21" s="63" t="n"/>
      <c r="B21" s="27" t="inlineStr">
        <is>
          <t>Weighted Score  (aggregate × bucket weight)</t>
        </is>
      </c>
      <c r="C21" s="28">
        <f>IFERROR(C20*F20,"")</f>
        <v/>
      </c>
      <c r="D21" s="29" t="inlineStr">
        <is>
          <t>1 = very costly  |  5 = very affordable</t>
        </is>
      </c>
      <c r="E21" s="63" t="n"/>
      <c r="F21" s="63" t="n"/>
    </row>
    <row r="22" ht="6" customHeight="1"/>
    <row r="23" ht="30" customHeight="1">
      <c r="A23" s="65" t="inlineStr">
        <is>
          <t>EFFORT</t>
        </is>
      </c>
      <c r="B23" s="5" t="inlineStr">
        <is>
          <t>Can we build a prototype that proves the case in 48 hrs / 1 week / 2 weeks?</t>
        </is>
      </c>
      <c r="C23" s="6" t="n">
        <v>2</v>
      </c>
      <c r="D23" s="7" t="inlineStr">
        <is>
          <t>Very difficult now. Blocked by Prisym 360 non-existence. Simulation only with synthetic label pairs.</t>
        </is>
      </c>
      <c r="E23" s="7" t="n"/>
      <c r="F23" s="7" t="n"/>
    </row>
    <row r="24" ht="30" customHeight="1">
      <c r="B24" s="5" t="inlineStr">
        <is>
          <t>What are the risks that would prevent the prototype from being completed?</t>
        </is>
      </c>
      <c r="C24" s="6" t="n">
        <v>1</v>
      </c>
      <c r="D24" s="7" t="inlineStr">
        <is>
          <t>Primary blocker: Prisym 360 does not exist. Cannot prototype against real data at all.</t>
        </is>
      </c>
      <c r="E24" s="7" t="n"/>
      <c r="F24" s="7" t="n"/>
    </row>
    <row r="25" ht="30" customHeight="1">
      <c r="B25" s="5" t="inlineStr">
        <is>
          <t>What does the prototype need to demonstrate? What is the happy path journey?</t>
        </is>
      </c>
      <c r="C25" s="6" t="n">
        <v>2</v>
      </c>
      <c r="D25" s="7" t="inlineStr">
        <is>
          <t>Complex: requires label ID pairing, bulk comparison, and report. Happy path unclear without seeing both systems.</t>
        </is>
      </c>
      <c r="E25" s="7" t="n"/>
      <c r="F25" s="7" t="n"/>
    </row>
    <row r="26" ht="30" customHeight="1">
      <c r="B26" s="5" t="inlineStr">
        <is>
          <t>Does the data exist today in accessible form? Can it be synthesized if not?</t>
        </is>
      </c>
      <c r="C26" s="6" t="n">
        <v>1</v>
      </c>
      <c r="D26" s="7" t="inlineStr">
        <is>
          <t>Prisym 360 label data does not exist. Prisym 1.6 data exists but access not yet confirmed.</t>
        </is>
      </c>
      <c r="E26" s="7" t="n"/>
      <c r="F26" s="7" t="n"/>
    </row>
    <row r="27" ht="30" customHeight="1">
      <c r="B27" s="5" t="inlineStr">
        <is>
          <t>How data-dependent is the use case?</t>
        </is>
      </c>
      <c r="C27" s="6" t="n">
        <v>2</v>
      </c>
      <c r="D27" s="7" t="inlineStr">
        <is>
          <t>Completely dependent on having both label sets simultaneously.</t>
        </is>
      </c>
      <c r="E27" s="7" t="n"/>
      <c r="F27" s="7" t="n"/>
    </row>
    <row r="28" ht="30" customHeight="1">
      <c r="B28" s="5" t="inlineStr">
        <is>
          <t>What is the volume and quality of the data? Is it structured? Is there metadata?</t>
        </is>
      </c>
      <c r="C28" s="6" t="n">
        <v>2</v>
      </c>
      <c r="D28" s="7" t="inlineStr">
        <is>
          <t>12K labels / 90 templates. Significant volume; structured but needs Prisym export access.</t>
        </is>
      </c>
      <c r="E28" s="7" t="n"/>
      <c r="F28" s="7" t="n"/>
    </row>
    <row r="29" ht="30" customHeight="1">
      <c r="B29" s="5" t="inlineStr">
        <is>
          <t>What system is the data in? Can we access it? Can we get a working sample?</t>
        </is>
      </c>
      <c r="C29" s="6" t="n">
        <v>1</v>
      </c>
      <c r="D29" s="7" t="inlineStr">
        <is>
          <t>Prisym 1.6: accessible (TBC). Prisym 360: not yet available.</t>
        </is>
      </c>
      <c r="E29" s="7" t="n"/>
      <c r="F29" s="7" t="n"/>
    </row>
    <row r="30" ht="30" customHeight="1">
      <c r="A30" s="8" t="n"/>
      <c r="B30" s="5" t="inlineStr">
        <is>
          <t>Is the data disparate or in one area?</t>
        </is>
      </c>
      <c r="C30" s="6" t="n">
        <v>2</v>
      </c>
      <c r="D30" s="7" t="inlineStr">
        <is>
          <t>Two different systems with different formats and layouts. Dispersion adds integration complexity.</t>
        </is>
      </c>
      <c r="E30" s="7" t="n"/>
      <c r="F30" s="7" t="n"/>
    </row>
    <row r="31" ht="22" customHeight="1">
      <c r="A31" s="66" t="n"/>
      <c r="B31" s="33" t="inlineStr">
        <is>
          <t>Bucket Aggregate (avg of question scores)</t>
        </is>
      </c>
      <c r="C31" s="34">
        <f>IFERROR(AVERAGE(C23:C30),"")</f>
        <v/>
      </c>
      <c r="D31" s="35" t="n"/>
      <c r="E31" s="36" t="inlineStr">
        <is>
          <t>Bucket Weight (editable):</t>
        </is>
      </c>
      <c r="F31" s="14" t="n">
        <v>3</v>
      </c>
    </row>
    <row r="32" ht="22" customHeight="1">
      <c r="A32" s="67" t="n"/>
      <c r="B32" s="38" t="inlineStr">
        <is>
          <t>Weighted Score  (aggregate × bucket weight)</t>
        </is>
      </c>
      <c r="C32" s="39">
        <f>IFERROR(C31*F31,"")</f>
        <v/>
      </c>
      <c r="D32" s="40" t="inlineStr">
        <is>
          <t>1 = most difficult  |  5 = easiest</t>
        </is>
      </c>
      <c r="E32" s="67" t="n"/>
      <c r="F32" s="67" t="n"/>
    </row>
    <row r="33" ht="6" customHeight="1"/>
    <row r="34" ht="30" customHeight="1">
      <c r="A34" s="69" t="inlineStr">
        <is>
          <t>REACH</t>
        </is>
      </c>
      <c r="B34" s="5" t="inlineStr">
        <is>
          <t>How reusable is the solution across teams or use cases?</t>
        </is>
      </c>
      <c r="C34" s="6" t="n">
        <v>5</v>
      </c>
      <c r="D34" s="7" t="inlineStr">
        <is>
          <t>If Prisym 360 rolls out globally, all Stryker labeling divisions benefit. Deck: "All divisional labeling teams could benefit."</t>
        </is>
      </c>
      <c r="E34" s="7" t="n"/>
      <c r="F34" s="7" t="n"/>
    </row>
    <row r="35" ht="30" customHeight="1">
      <c r="B35" s="5" t="inlineStr">
        <is>
          <t>Does this amplify AI strategy throughout Stryker?</t>
        </is>
      </c>
      <c r="C35" s="6" t="n">
        <v>5</v>
      </c>
      <c r="D35" s="7" t="inlineStr">
        <is>
          <t>Embeds AI in SDLC of a major global infrastructure migration. High strategic amplification.</t>
        </is>
      </c>
      <c r="E35" s="7" t="n"/>
      <c r="F35" s="7" t="n"/>
    </row>
    <row r="36" ht="30" customHeight="1">
      <c r="B36" s="5" t="inlineStr">
        <is>
          <t>Is this a business strategic priority?</t>
        </is>
      </c>
      <c r="C36" s="6" t="n">
        <v>4</v>
      </c>
      <c r="D36" s="7" t="inlineStr">
        <is>
          <t>Tied to Prisym 360 migration - a funded strategic initiative with a defined timeline.</t>
        </is>
      </c>
      <c r="E36" s="7" t="n"/>
      <c r="F36" s="7" t="n"/>
    </row>
    <row r="37" ht="30" customHeight="1">
      <c r="B37" s="5" t="inlineStr">
        <is>
          <t>Does this involve key partnerships or represent a quick win?</t>
        </is>
      </c>
      <c r="C37" s="6" t="n">
        <v>2</v>
      </c>
      <c r="D37" s="7" t="inlineStr">
        <is>
          <t>Not a quick win. Requires 2027 timeline alignment. No near-term delivery.</t>
        </is>
      </c>
      <c r="E37" s="7" t="n"/>
      <c r="F37" s="7" t="n"/>
    </row>
    <row r="38" ht="30" customHeight="1">
      <c r="A38" s="8" t="n"/>
      <c r="B38" s="5" t="inlineStr">
        <is>
          <t>How does the prototype prove the business case beyond the immediate use case?</t>
        </is>
      </c>
      <c r="C38" s="6" t="n">
        <v>4</v>
      </c>
      <c r="D38" s="7" t="inlineStr">
        <is>
          <t>Demonstrates AI can replace Falcon Tool at lower cost and higher accuracy. Replicable model for any large-scale migration.</t>
        </is>
      </c>
      <c r="E38" s="7" t="n"/>
      <c r="F38" s="7" t="n"/>
    </row>
    <row r="39" ht="22" customHeight="1">
      <c r="A39" s="70" t="n"/>
      <c r="B39" s="44" t="inlineStr">
        <is>
          <t>Bucket Aggregate (avg of question scores)</t>
        </is>
      </c>
      <c r="C39" s="45">
        <f>IFERROR(AVERAGE(C34:C38),"")</f>
        <v/>
      </c>
      <c r="D39" s="46" t="n"/>
      <c r="E39" s="47" t="inlineStr">
        <is>
          <t>Bucket Weight (editable):</t>
        </is>
      </c>
      <c r="F39" s="14" t="n">
        <v>4</v>
      </c>
    </row>
    <row r="40" ht="22" customHeight="1">
      <c r="A40" s="71" t="n"/>
      <c r="B40" s="49" t="inlineStr">
        <is>
          <t>Weighted Score  (aggregate × bucket weight)</t>
        </is>
      </c>
      <c r="C40" s="50">
        <f>IFERROR(C39*F39,"")</f>
        <v/>
      </c>
      <c r="D40" s="51" t="inlineStr">
        <is>
          <t>1 = most niche  |  5 = broad and reusable</t>
        </is>
      </c>
      <c r="E40" s="71" t="n"/>
      <c r="F40" s="71" t="n"/>
    </row>
    <row r="41" ht="6" customHeight="1"/>
    <row r="42" ht="30" customHeight="1">
      <c r="A42" s="53" t="inlineStr">
        <is>
          <t>FINAL COMPOSITE SCORE</t>
        </is>
      </c>
      <c r="B42" s="74" t="n"/>
      <c r="C42" s="55">
        <f>IFERROR(C12+C21+C32+C40,"")</f>
        <v/>
      </c>
      <c r="D42" s="56" t="inlineStr">
        <is>
          <t>Max possible score = 70  (all 5s, default weights)  |  Risk modifier: Risk = Effort / Cost</t>
        </is>
      </c>
      <c r="E42" s="74" t="n"/>
      <c r="F42" s="74" t="n"/>
    </row>
  </sheetData>
  <mergeCells count="22">
    <mergeCell ref="D32:F32"/>
    <mergeCell ref="B20"/>
    <mergeCell ref="A2:F2"/>
    <mergeCell ref="A4:A10"/>
    <mergeCell ref="D12:F12"/>
    <mergeCell ref="B31"/>
    <mergeCell ref="D42:F42"/>
    <mergeCell ref="A34:A38"/>
    <mergeCell ref="B39"/>
    <mergeCell ref="B11"/>
    <mergeCell ref="A42:B42"/>
    <mergeCell ref="A20:A21"/>
    <mergeCell ref="A14:A19"/>
    <mergeCell ref="A11:A12"/>
    <mergeCell ref="A1:F1"/>
    <mergeCell ref="A39:A40"/>
    <mergeCell ref="D40:F40"/>
    <mergeCell ref="A23:A30"/>
    <mergeCell ref="A31:A32"/>
    <mergeCell ref="D21:F21"/>
    <mergeCell ref="C3:D3"/>
    <mergeCell ref="E3:F3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STRYKER USE CASE SCORING TEMPLATE</t>
        </is>
      </c>
    </row>
    <row r="2" ht="22" customHeight="1">
      <c r="A2" s="2" t="inlineStr">
        <is>
          <t>Score each question 1–5. Bucket Aggregate = average of question scores. Weighted Score = Aggregate × Bucket Weight. Final Score = sum of all Weighted Scores.</t>
        </is>
      </c>
    </row>
    <row r="3" ht="28" customHeight="1">
      <c r="A3" s="3" t="inlineStr">
        <is>
          <t>CRITERIA</t>
        </is>
      </c>
      <c r="B3" s="3" t="inlineStr">
        <is>
          <t>QUESTION</t>
        </is>
      </c>
      <c r="C3" s="3" t="inlineStr">
        <is>
          <t>Question Score
(1–5, see guide)</t>
        </is>
      </c>
      <c r="E3" s="3" t="inlineStr">
        <is>
          <t>Bucket Configuration</t>
        </is>
      </c>
    </row>
    <row r="4" ht="30" customHeight="1">
      <c r="A4" s="57" t="inlineStr">
        <is>
          <t>VALUE</t>
        </is>
      </c>
      <c r="B4" s="5" t="inlineStr">
        <is>
          <t>Who is the audience? Who is impacted? How many users?</t>
        </is>
      </c>
      <c r="C4" s="6" t="n">
        <v>3</v>
      </c>
      <c r="D4" s="7" t="inlineStr">
        <is>
          <t>Labeling team + 9 cross-functional approvers on Label Content Form. ~10-25 people, similar to UC1.</t>
        </is>
      </c>
      <c r="E4" s="7" t="n"/>
      <c r="F4" s="7" t="n"/>
    </row>
    <row r="5" ht="30" customHeight="1">
      <c r="B5" s="5" t="inlineStr">
        <is>
          <t>What are the 2–3 challenges/friction points that need to be solved? What happens if unaddressed?</t>
        </is>
      </c>
      <c r="C5" s="6" t="n">
        <v>4</v>
      </c>
      <c r="D5" s="7" t="inlineStr">
        <is>
          <t>(1) Upload file errors caught only at preview. (2) 9 approvers waste time on preventable issues. (3) Manual upload creation is error-prone.</t>
        </is>
      </c>
      <c r="E5" s="7" t="n"/>
      <c r="F5" s="7" t="n"/>
    </row>
    <row r="6" ht="30" customHeight="1">
      <c r="B6" s="5" t="inlineStr">
        <is>
          <t>How impactful is the challenge? What is the pain of not doing this work?</t>
        </is>
      </c>
      <c r="C6" s="6" t="n">
        <v>3</v>
      </c>
      <c r="D6" s="7" t="inlineStr">
        <is>
          <t>27.6 hours saved per 100 labels but annual volume unknown. Score conservative without volume data.</t>
        </is>
      </c>
      <c r="E6" s="7" t="n"/>
      <c r="F6" s="7" t="n"/>
    </row>
    <row r="7" ht="30" customHeight="1">
      <c r="B7" s="5" t="inlineStr">
        <is>
          <t>What is the speed benefit? (e.g. needle in a haystack)</t>
        </is>
      </c>
      <c r="C7" s="6" t="n">
        <v>4</v>
      </c>
      <c r="D7" s="7" t="inlineStr">
        <is>
          <t>Upload creation: 3 hrs to 8 min (22x speedup). Review: 25 hrs to 8 min per 100 labels. Strong speed benefit even at unknown volume.</t>
        </is>
      </c>
      <c r="E7" s="7" t="n"/>
      <c r="F7" s="7" t="n"/>
    </row>
    <row r="8" ht="30" customHeight="1">
      <c r="B8" s="5" t="inlineStr">
        <is>
          <t>What is the cost of a false positive / false negative? What is the current efficacy?</t>
        </is>
      </c>
      <c r="C8" s="6" t="n">
        <v>4</v>
      </c>
      <c r="D8" s="7" t="inlineStr">
        <is>
          <t>FN: low (downstream review backstop). FP: minor (reviewer confirms). Low error cost overall.</t>
        </is>
      </c>
      <c r="E8" s="7" t="n"/>
      <c r="F8" s="7" t="n"/>
    </row>
    <row r="9" ht="30" customHeight="1">
      <c r="B9" s="5" t="inlineStr">
        <is>
          <t>Can we measure success? What are the OKRs/KPIs and metrics?</t>
        </is>
      </c>
      <c r="C9" s="6" t="n">
        <v>3</v>
      </c>
      <c r="D9" s="7" t="inlineStr">
        <is>
          <t>Clear metrics: upload error rate, rework cycles, creation time. Full ROI unquantifiable without annual volume.</t>
        </is>
      </c>
      <c r="E9" s="7" t="n"/>
      <c r="F9" s="7" t="n"/>
    </row>
    <row r="10" ht="30" customHeight="1">
      <c r="A10" s="8" t="n"/>
      <c r="B10" s="5" t="inlineStr">
        <is>
          <t>How much human intervention is needed in the end-goal?</t>
        </is>
      </c>
      <c r="C10" s="6" t="n">
        <v>3</v>
      </c>
      <c r="D10" s="7" t="inlineStr">
        <is>
          <t>AI removes rework loop and upload mistakes, but humans own the final approval sign-off.</t>
        </is>
      </c>
      <c r="E10" s="7" t="n"/>
      <c r="F10" s="7" t="n"/>
    </row>
    <row r="11" ht="22" customHeight="1">
      <c r="A11" s="58" t="n"/>
      <c r="B11" s="10" t="inlineStr">
        <is>
          <t>Bucket Aggregate (avg of question scores)</t>
        </is>
      </c>
      <c r="C11" s="11">
        <f>IFERROR(AVERAGE(C4:C10),"")</f>
        <v/>
      </c>
      <c r="D11" s="12" t="n"/>
      <c r="E11" s="13" t="inlineStr">
        <is>
          <t>Bucket Weight (editable):</t>
        </is>
      </c>
      <c r="F11" s="14" t="n">
        <v>5</v>
      </c>
    </row>
    <row r="12" ht="22" customHeight="1">
      <c r="A12" s="59" t="n"/>
      <c r="B12" s="16" t="inlineStr">
        <is>
          <t>Weighted Score  (aggregate × bucket weight)</t>
        </is>
      </c>
      <c r="C12" s="17">
        <f>IFERROR(C11*F11,"")</f>
        <v/>
      </c>
      <c r="D12" s="60" t="inlineStr">
        <is>
          <t>1 = no clear value  |  5 = high efficiency gains / significant revenue or risk impact</t>
        </is>
      </c>
      <c r="E12" s="59" t="n"/>
      <c r="F12" s="59" t="n"/>
    </row>
    <row r="13" ht="6" customHeight="1"/>
    <row r="14" ht="30" customHeight="1">
      <c r="A14" s="61" t="inlineStr">
        <is>
          <t>COST</t>
        </is>
      </c>
      <c r="B14" s="5" t="inlineStr">
        <is>
          <t>What is the cost of making this production-ready?</t>
        </is>
      </c>
      <c r="C14" s="6" t="n">
        <v>3</v>
      </c>
      <c r="D14" s="7" t="inlineStr">
        <is>
          <t>Moderate - reuses UC1 infrastructure (comparison engine, report generation, cert output). Not a net-new build.</t>
        </is>
      </c>
      <c r="E14" s="7" t="n"/>
      <c r="F14" s="7" t="n"/>
    </row>
    <row r="15" ht="30" customHeight="1">
      <c r="B15" s="5" t="inlineStr">
        <is>
          <t>How hard is it to create the production data pipeline?</t>
        </is>
      </c>
      <c r="C15" s="6" t="n">
        <v>4</v>
      </c>
      <c r="D15" s="7" t="inlineStr">
        <is>
          <t>All inputs are structured Excel files. Straightforward pipeline vs. UC1 multimodal requirement.</t>
        </is>
      </c>
      <c r="E15" s="7" t="n"/>
      <c r="F15" s="7" t="n"/>
    </row>
    <row r="16" ht="30" customHeight="1">
      <c r="B16" s="5" t="inlineStr">
        <is>
          <t>Is there a UI needed? What does it need to demonstrate?</t>
        </is>
      </c>
      <c r="C16" s="6" t="n">
        <v>3</v>
      </c>
      <c r="D16" s="7" t="inlineStr">
        <is>
          <t>UI similar to UC1: upload Label Content Form + translation file to get validated upload file + report.</t>
        </is>
      </c>
      <c r="E16" s="7" t="n"/>
      <c r="F16" s="7" t="n"/>
    </row>
    <row r="17" ht="30" customHeight="1">
      <c r="B17" s="5" t="inlineStr">
        <is>
          <t>How well-defined is the business case? How long until the benefit is realized?</t>
        </is>
      </c>
      <c r="C17" s="6" t="n">
        <v>3</v>
      </c>
      <c r="D17" s="7" t="inlineStr">
        <is>
          <t>Process improvement clear but ROI partially undefined (annual volume unknown). Benefit realized quickly once deployed.</t>
        </is>
      </c>
      <c r="E17" s="7" t="n"/>
      <c r="F17" s="7" t="n"/>
    </row>
    <row r="18" ht="30" customHeight="1">
      <c r="B18" s="5" t="inlineStr">
        <is>
          <t>Are there regulatory hurdles? How might they impact timeline and complexity?</t>
        </is>
      </c>
      <c r="C18" s="6" t="n">
        <v>2</v>
      </c>
      <c r="D18" s="7" t="inlineStr">
        <is>
          <t>Same validation requirement as UC1. Regulatory integration (Accuris) explicitly scoped out of V1.</t>
        </is>
      </c>
      <c r="E18" s="7" t="n"/>
      <c r="F18" s="7" t="n"/>
    </row>
    <row r="19" ht="30" customHeight="1">
      <c r="A19" s="8" t="n"/>
      <c r="B19" s="5" t="inlineStr">
        <is>
          <t>Are metrics being tracked now, or does tracking need to be built?</t>
        </is>
      </c>
      <c r="C19" s="6" t="n">
        <v>2</v>
      </c>
      <c r="D19" s="7" t="inlineStr">
        <is>
          <t>Not tracked (or unknown). Must be built.</t>
        </is>
      </c>
      <c r="E19" s="7" t="n"/>
      <c r="F19" s="7" t="n"/>
    </row>
    <row r="20" ht="22" customHeight="1">
      <c r="A20" s="62" t="n"/>
      <c r="B20" s="22" t="inlineStr">
        <is>
          <t>Bucket Aggregate (avg of question scores)</t>
        </is>
      </c>
      <c r="C20" s="23">
        <f>IFERROR(AVERAGE(C14:C19),"")</f>
        <v/>
      </c>
      <c r="D20" s="24" t="n"/>
      <c r="E20" s="25" t="inlineStr">
        <is>
          <t>Bucket Weight (editable):</t>
        </is>
      </c>
      <c r="F20" s="14" t="n">
        <v>2</v>
      </c>
    </row>
    <row r="21" ht="22" customHeight="1">
      <c r="A21" s="63" t="n"/>
      <c r="B21" s="27" t="inlineStr">
        <is>
          <t>Weighted Score  (aggregate × bucket weight)</t>
        </is>
      </c>
      <c r="C21" s="28">
        <f>IFERROR(C20*F20,"")</f>
        <v/>
      </c>
      <c r="D21" s="64" t="inlineStr">
        <is>
          <t>1 = very costly  |  5 = very affordable</t>
        </is>
      </c>
      <c r="E21" s="63" t="n"/>
      <c r="F21" s="63" t="n"/>
    </row>
    <row r="22" ht="6" customHeight="1"/>
    <row r="23" ht="30" customHeight="1">
      <c r="A23" s="65" t="inlineStr">
        <is>
          <t>EFFORT</t>
        </is>
      </c>
      <c r="B23" s="5" t="inlineStr">
        <is>
          <t>Can we build a prototype that proves the case in 48 hrs / 1 week / 2 weeks?</t>
        </is>
      </c>
      <c r="C23" s="6" t="n">
        <v>4</v>
      </c>
      <c r="D23" s="7" t="inlineStr">
        <is>
          <t>Strong candidate - 1-2 week prototype. Structured data, standard templates.</t>
        </is>
      </c>
      <c r="E23" s="7" t="n"/>
      <c r="F23" s="7" t="n"/>
    </row>
    <row r="24" ht="30" customHeight="1">
      <c r="B24" s="5" t="inlineStr">
        <is>
          <t>What are the risks that would prevent the prototype from being completed?</t>
        </is>
      </c>
      <c r="C24" s="6" t="n">
        <v>3</v>
      </c>
      <c r="D24" s="7" t="inlineStr">
        <is>
          <t>Upload file format variation across product lines; need end-to-end sample data from Stryker.</t>
        </is>
      </c>
      <c r="E24" s="7" t="n"/>
      <c r="F24" s="7" t="n"/>
    </row>
    <row r="25" ht="30" customHeight="1">
      <c r="B25" s="5" t="inlineStr">
        <is>
          <t>What does the prototype need to demonstrate? What is the happy path journey?</t>
        </is>
      </c>
      <c r="C25" s="6" t="n">
        <v>4</v>
      </c>
      <c r="D25" s="7" t="inlineStr">
        <is>
          <t>Clear: ingest Label Content Form + translation file to validate upload file, flag discrepancies.</t>
        </is>
      </c>
      <c r="E25" s="7" t="n"/>
      <c r="F25" s="7" t="n"/>
    </row>
    <row r="26" ht="30" customHeight="1">
      <c r="B26" s="5" t="inlineStr">
        <is>
          <t>Does the data exist today in accessible form? Can it be synthesized if not?</t>
        </is>
      </c>
      <c r="C26" s="6" t="n">
        <v>3</v>
      </c>
      <c r="D26" s="7" t="inlineStr">
        <is>
          <t>Source of Truth and upload files exist. End-to-end examples not yet secured from Stryker - minor blocker.</t>
        </is>
      </c>
      <c r="E26" s="7" t="n"/>
      <c r="F26" s="7" t="n"/>
    </row>
    <row r="27" ht="30" customHeight="1">
      <c r="B27" s="5" t="inlineStr">
        <is>
          <t>How data-dependent is the use case?</t>
        </is>
      </c>
      <c r="C27" s="6" t="n">
        <v>4</v>
      </c>
      <c r="D27" s="7" t="inlineStr">
        <is>
          <t>Data dependent but exists in structured form. Standard templates confirmed.</t>
        </is>
      </c>
      <c r="E27" s="7" t="n"/>
      <c r="F27" s="7" t="n"/>
    </row>
    <row r="28" ht="30" customHeight="1">
      <c r="B28" s="5" t="inlineStr">
        <is>
          <t>What is the volume and quality of the data? Is it structured? Is there metadata?</t>
        </is>
      </c>
      <c r="C28" s="6" t="n">
        <v>4</v>
      </c>
      <c r="D28" s="7" t="inlineStr">
        <is>
          <t>All inputs are structured Excel. High quality.</t>
        </is>
      </c>
      <c r="E28" s="7" t="n"/>
      <c r="F28" s="7" t="n"/>
    </row>
    <row r="29" ht="30" customHeight="1">
      <c r="B29" s="5" t="inlineStr">
        <is>
          <t>What system is the data in? Can we access it? Can we get a working sample?</t>
        </is>
      </c>
      <c r="C29" s="6" t="n">
        <v>4</v>
      </c>
      <c r="D29" s="7" t="inlineStr">
        <is>
          <t>Excel-based; readily accessible. Lower friction than Prisym-dependent use cases.</t>
        </is>
      </c>
      <c r="E29" s="7" t="n"/>
      <c r="F29" s="7" t="n"/>
    </row>
    <row r="30" ht="30" customHeight="1">
      <c r="A30" s="8" t="n"/>
      <c r="B30" s="5" t="inlineStr">
        <is>
          <t>Is the data disparate or in one area?</t>
        </is>
      </c>
      <c r="C30" s="6" t="n">
        <v>4</v>
      </c>
      <c r="D30" s="7" t="inlineStr">
        <is>
          <t>Two documents (Label Content Form + translation file) to one output (upload file). Minimal dispersion.</t>
        </is>
      </c>
      <c r="E30" s="7" t="n"/>
      <c r="F30" s="7" t="n"/>
    </row>
    <row r="31" ht="22" customHeight="1">
      <c r="A31" s="66" t="n"/>
      <c r="B31" s="33" t="inlineStr">
        <is>
          <t>Bucket Aggregate (avg of question scores)</t>
        </is>
      </c>
      <c r="C31" s="34">
        <f>IFERROR(AVERAGE(C23:C30),"")</f>
        <v/>
      </c>
      <c r="D31" s="35" t="n"/>
      <c r="E31" s="36" t="inlineStr">
        <is>
          <t>Bucket Weight (editable):</t>
        </is>
      </c>
      <c r="F31" s="14" t="n">
        <v>3</v>
      </c>
    </row>
    <row r="32" ht="22" customHeight="1">
      <c r="A32" s="67" t="n"/>
      <c r="B32" s="38" t="inlineStr">
        <is>
          <t>Weighted Score  (aggregate × bucket weight)</t>
        </is>
      </c>
      <c r="C32" s="39">
        <f>IFERROR(C31*F31,"")</f>
        <v/>
      </c>
      <c r="D32" s="68" t="inlineStr">
        <is>
          <t>1 = most difficult  |  5 = easiest</t>
        </is>
      </c>
      <c r="E32" s="67" t="n"/>
      <c r="F32" s="67" t="n"/>
    </row>
    <row r="33" ht="6" customHeight="1"/>
    <row r="34" ht="30" customHeight="1">
      <c r="A34" s="69" t="inlineStr">
        <is>
          <t>REACH</t>
        </is>
      </c>
      <c r="B34" s="5" t="inlineStr">
        <is>
          <t>How reusable is the solution across teams or use cases?</t>
        </is>
      </c>
      <c r="C34" s="6" t="n">
        <v>4</v>
      </c>
      <c r="D34" s="7" t="inlineStr">
        <is>
          <t>Reuses UC1 infrastructure. Applicable to Trauma (labeling translations). Slightly narrower than UC1 reuse scope.</t>
        </is>
      </c>
      <c r="E34" s="7" t="n"/>
      <c r="F34" s="7" t="n"/>
    </row>
    <row r="35" ht="30" customHeight="1">
      <c r="B35" s="5" t="inlineStr">
        <is>
          <t>Does this amplify AI strategy throughout Stryker?</t>
        </is>
      </c>
      <c r="C35" s="6" t="n">
        <v>3</v>
      </c>
      <c r="D35" s="7" t="inlineStr">
        <is>
          <t>Supporting use case to UC1 rather than standalone AI strategy anchor.</t>
        </is>
      </c>
      <c r="E35" s="7" t="n"/>
      <c r="F35" s="7" t="n"/>
    </row>
    <row r="36" ht="30" customHeight="1">
      <c r="B36" s="5" t="inlineStr">
        <is>
          <t>Is this a business strategic priority?</t>
        </is>
      </c>
      <c r="C36" s="6" t="n">
        <v>3</v>
      </c>
      <c r="D36" s="7" t="inlineStr">
        <is>
          <t>Operational efficiency priority. Not a marquee initiative.</t>
        </is>
      </c>
      <c r="E36" s="7" t="n"/>
      <c r="F36" s="7" t="n"/>
    </row>
    <row r="37" ht="30" customHeight="1">
      <c r="B37" s="5" t="inlineStr">
        <is>
          <t>Does this involve key partnerships or represent a quick win?</t>
        </is>
      </c>
      <c r="C37" s="6" t="n">
        <v>4</v>
      </c>
      <c r="D37" s="7" t="inlineStr">
        <is>
          <t>High prototypability with structured data. Quick win candidate alongside UC1.</t>
        </is>
      </c>
      <c r="E37" s="7" t="n"/>
      <c r="F37" s="7" t="n"/>
    </row>
    <row r="38" ht="30" customHeight="1">
      <c r="A38" s="8" t="n"/>
      <c r="B38" s="5" t="inlineStr">
        <is>
          <t>How does the prototype prove the business case beyond the immediate use case?</t>
        </is>
      </c>
      <c r="C38" s="6" t="n">
        <v>4</v>
      </c>
      <c r="D38" s="7" t="inlineStr">
        <is>
          <t>Combined with UC1 tells complete labeling AI lifecycle: creation to review to revision to migration.</t>
        </is>
      </c>
      <c r="E38" s="7" t="n"/>
      <c r="F38" s="7" t="n"/>
    </row>
    <row r="39" ht="22" customHeight="1">
      <c r="A39" s="70" t="n"/>
      <c r="B39" s="44" t="inlineStr">
        <is>
          <t>Bucket Aggregate (avg of question scores)</t>
        </is>
      </c>
      <c r="C39" s="45">
        <f>IFERROR(AVERAGE(C34:C38),"")</f>
        <v/>
      </c>
      <c r="D39" s="46" t="n"/>
      <c r="E39" s="47" t="inlineStr">
        <is>
          <t>Bucket Weight (editable):</t>
        </is>
      </c>
      <c r="F39" s="14" t="n">
        <v>4</v>
      </c>
    </row>
    <row r="40" ht="22" customHeight="1">
      <c r="A40" s="71" t="n"/>
      <c r="B40" s="49" t="inlineStr">
        <is>
          <t>Weighted Score  (aggregate × bucket weight)</t>
        </is>
      </c>
      <c r="C40" s="50">
        <f>IFERROR(C39*F39,"")</f>
        <v/>
      </c>
      <c r="D40" s="72" t="inlineStr">
        <is>
          <t>1 = most niche  |  5 = broad and reusable</t>
        </is>
      </c>
      <c r="E40" s="71" t="n"/>
      <c r="F40" s="71" t="n"/>
    </row>
    <row r="41" ht="6" customHeight="1"/>
    <row r="42" ht="30" customHeight="1">
      <c r="A42" s="73" t="inlineStr">
        <is>
          <t>FINAL COMPOSITE SCORE</t>
        </is>
      </c>
      <c r="B42" s="74" t="n"/>
      <c r="C42" s="55">
        <f>IFERROR(C12+C21+C32+C40,"")</f>
        <v/>
      </c>
      <c r="D42" s="75" t="inlineStr">
        <is>
          <t>Max possible score = 70  (all 5s, default weights)  |  Risk modifier: Risk = Effort / Cost</t>
        </is>
      </c>
      <c r="E42" s="74" t="n"/>
      <c r="F42" s="74" t="n"/>
    </row>
  </sheetData>
  <mergeCells count="22">
    <mergeCell ref="D32:F32"/>
    <mergeCell ref="B20"/>
    <mergeCell ref="A2:F2"/>
    <mergeCell ref="A4:A10"/>
    <mergeCell ref="D12:F12"/>
    <mergeCell ref="B31"/>
    <mergeCell ref="D42:F42"/>
    <mergeCell ref="A34:A38"/>
    <mergeCell ref="B39"/>
    <mergeCell ref="B11"/>
    <mergeCell ref="A42:B42"/>
    <mergeCell ref="A20:A21"/>
    <mergeCell ref="A14:A19"/>
    <mergeCell ref="A11:A12"/>
    <mergeCell ref="A1:F1"/>
    <mergeCell ref="A39:A40"/>
    <mergeCell ref="D40:F40"/>
    <mergeCell ref="A23:A30"/>
    <mergeCell ref="A31:A32"/>
    <mergeCell ref="D21:F21"/>
    <mergeCell ref="C3:D3"/>
    <mergeCell ref="E3:F3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STRYKER USE CASE SCORING TEMPLATE</t>
        </is>
      </c>
    </row>
    <row r="2" ht="22" customHeight="1">
      <c r="A2" s="2" t="inlineStr">
        <is>
          <t>Score each question 1–5. Bucket Aggregate = average of question scores. Weighted Score = Aggregate × Bucket Weight. Final Score = sum of all Weighted Scores.</t>
        </is>
      </c>
    </row>
    <row r="3" ht="28" customHeight="1">
      <c r="A3" s="3" t="inlineStr">
        <is>
          <t>CRITERIA</t>
        </is>
      </c>
      <c r="B3" s="3" t="inlineStr">
        <is>
          <t>QUESTION</t>
        </is>
      </c>
      <c r="C3" s="3" t="inlineStr">
        <is>
          <t>Question Score
(1–5, see guide)</t>
        </is>
      </c>
      <c r="E3" s="3" t="inlineStr">
        <is>
          <t>Bucket Configuration</t>
        </is>
      </c>
    </row>
    <row r="4" ht="30" customHeight="1">
      <c r="A4" s="57" t="inlineStr">
        <is>
          <t>VALUE</t>
        </is>
      </c>
      <c r="B4" s="5" t="inlineStr">
        <is>
          <t>Who is the audience? Who is impacted? How many users?</t>
        </is>
      </c>
      <c r="C4" s="6" t="n">
        <v>3</v>
      </c>
      <c r="D4" s="7" t="inlineStr">
        <is>
          <t>RA team + Labeling team. Small audience (~10-25 people) but high-stakes compliance function.</t>
        </is>
      </c>
      <c r="E4" s="7" t="n"/>
      <c r="F4" s="7" t="n"/>
    </row>
    <row r="5" ht="30" customHeight="1">
      <c r="B5" s="5" t="inlineStr">
        <is>
          <t>What are the 2–3 challenges/friction points that need to be solved? What happens if unaddressed?</t>
        </is>
      </c>
      <c r="C5" s="6" t="n">
        <v>4</v>
      </c>
      <c r="D5" s="7" t="inlineStr">
        <is>
          <t>(1) Manual monitoring of global standards is incomplete. (2) RA is reactive to regulatory changes. (3) CIDT assessments are manual and time-intensive.</t>
        </is>
      </c>
      <c r="E5" s="7" t="n"/>
      <c r="F5" s="7" t="n"/>
    </row>
    <row r="6" ht="30" customHeight="1">
      <c r="B6" s="5" t="inlineStr">
        <is>
          <t>How impactful is the challenge? What is the pain of not doing this work?</t>
        </is>
      </c>
      <c r="C6" s="6" t="n">
        <v>4</v>
      </c>
      <c r="D6" s="7" t="inlineStr">
        <is>
          <t>Compliance risk if regulatory changes are missed. High consequence even if low frequency.</t>
        </is>
      </c>
      <c r="E6" s="7" t="n"/>
      <c r="F6" s="7" t="n"/>
    </row>
    <row r="7" ht="30" customHeight="1">
      <c r="B7" s="5" t="inlineStr">
        <is>
          <t>What is the speed benefit? (e.g. needle in a haystack)</t>
        </is>
      </c>
      <c r="C7" s="6" t="n"/>
      <c r="D7" s="7" t="inlineStr">
        <is>
          <t>N/A - No time study data available for this use case.</t>
        </is>
      </c>
      <c r="E7" s="7" t="n"/>
      <c r="F7" s="7" t="n"/>
    </row>
    <row r="8" ht="30" customHeight="1">
      <c r="B8" s="5" t="inlineStr">
        <is>
          <t>What is the cost of a false positive / false negative? What is the current efficacy?</t>
        </is>
      </c>
      <c r="C8" s="6" t="n">
        <v>2</v>
      </c>
      <c r="D8" s="7" t="inlineStr">
        <is>
          <t>FN cost VERY HIGH: missed regulatory change = non-compliant labels in market. Highest-consequence error case.</t>
        </is>
      </c>
      <c r="E8" s="7" t="n"/>
      <c r="F8" s="7" t="n"/>
    </row>
    <row r="9" ht="30" customHeight="1">
      <c r="B9" s="5" t="inlineStr">
        <is>
          <t>Can we measure success? What are the OKRs/KPIs and metrics?</t>
        </is>
      </c>
      <c r="C9" s="6" t="n">
        <v>3</v>
      </c>
      <c r="D9" s="7" t="inlineStr">
        <is>
          <t>Can measure cycle time from standard change to labeling assessment. No baseline established yet.</t>
        </is>
      </c>
      <c r="E9" s="7" t="n"/>
      <c r="F9" s="7" t="n"/>
    </row>
    <row r="10" ht="30" customHeight="1">
      <c r="A10" s="8" t="n"/>
      <c r="B10" s="5" t="inlineStr">
        <is>
          <t>How much human intervention is needed in the end-goal?</t>
        </is>
      </c>
      <c r="C10" s="6" t="n">
        <v>2</v>
      </c>
      <c r="D10" s="7" t="inlineStr">
        <is>
          <t>RA must own final compliance assessment. AI surfaces changes but cannot replace regulatory judgment call.</t>
        </is>
      </c>
      <c r="E10" s="7" t="n"/>
      <c r="F10" s="7" t="n"/>
    </row>
    <row r="11" ht="22" customHeight="1">
      <c r="A11" s="58" t="n"/>
      <c r="B11" s="10" t="inlineStr">
        <is>
          <t>Bucket Aggregate (avg of question scores)</t>
        </is>
      </c>
      <c r="C11" s="11">
        <f>IFERROR(AVERAGE(C4:C10),"")</f>
        <v/>
      </c>
      <c r="D11" s="12" t="n"/>
      <c r="E11" s="13" t="inlineStr">
        <is>
          <t>Bucket Weight (editable):</t>
        </is>
      </c>
      <c r="F11" s="14" t="n">
        <v>5</v>
      </c>
    </row>
    <row r="12" ht="22" customHeight="1">
      <c r="A12" s="59" t="n"/>
      <c r="B12" s="16" t="inlineStr">
        <is>
          <t>Weighted Score  (aggregate × bucket weight)</t>
        </is>
      </c>
      <c r="C12" s="17">
        <f>IFERROR(C11*F11,"")</f>
        <v/>
      </c>
      <c r="D12" s="60" t="inlineStr">
        <is>
          <t>1 = no clear value  |  5 = high efficiency gains / significant revenue or risk impact</t>
        </is>
      </c>
      <c r="E12" s="59" t="n"/>
      <c r="F12" s="59" t="n"/>
    </row>
    <row r="13" ht="6" customHeight="1"/>
    <row r="14" ht="30" customHeight="1">
      <c r="A14" s="61" t="inlineStr">
        <is>
          <t>COST</t>
        </is>
      </c>
      <c r="B14" s="5" t="inlineStr">
        <is>
          <t>What is the cost of making this production-ready?</t>
        </is>
      </c>
      <c r="C14" s="6" t="n">
        <v>1</v>
      </c>
      <c r="D14" s="7" t="inlineStr">
        <is>
          <t>Very high. Accuris encryption makes ingestion design unclear. Significant legal/technical barriers unresolved.</t>
        </is>
      </c>
      <c r="E14" s="7" t="n"/>
      <c r="F14" s="7" t="n"/>
    </row>
    <row r="15" ht="30" customHeight="1">
      <c r="B15" s="5" t="inlineStr">
        <is>
          <t>How hard is it to create the production data pipeline?</t>
        </is>
      </c>
      <c r="C15" s="6" t="n">
        <v>1</v>
      </c>
      <c r="D15" s="7" t="inlineStr">
        <is>
          <t>Very hard. Accuris data is encrypted on download - cannot simply ingest. Pipeline design undefined.</t>
        </is>
      </c>
      <c r="E15" s="7" t="n"/>
      <c r="F15" s="7" t="n"/>
    </row>
    <row r="16" ht="30" customHeight="1">
      <c r="B16" s="5" t="inlineStr">
        <is>
          <t>Is there a UI needed? What does it need to demonstrate?</t>
        </is>
      </c>
      <c r="C16" s="6" t="n">
        <v>4</v>
      </c>
      <c r="D16" s="7" t="inlineStr">
        <is>
          <t>Minimal UI - output is a structured comparison report. Lower UI complexity than other use cases.</t>
        </is>
      </c>
      <c r="E16" s="7" t="n"/>
      <c r="F16" s="7" t="n"/>
    </row>
    <row r="17" ht="30" customHeight="1">
      <c r="B17" s="5" t="inlineStr">
        <is>
          <t>How well-defined is the business case? How long until the benefit is realized?</t>
        </is>
      </c>
      <c r="C17" s="6" t="n">
        <v>2</v>
      </c>
      <c r="D17" s="7" t="inlineStr">
        <is>
          <t>Early stage. No time study data; quantified success is unclear.</t>
        </is>
      </c>
      <c r="E17" s="7" t="n"/>
      <c r="F17" s="7" t="n"/>
    </row>
    <row r="18" ht="30" customHeight="1">
      <c r="B18" s="5" t="inlineStr">
        <is>
          <t>Are there regulatory hurdles? How might they impact timeline and complexity?</t>
        </is>
      </c>
      <c r="C18" s="6" t="n">
        <v>1</v>
      </c>
      <c r="D18" s="7" t="inlineStr">
        <is>
          <t>Extremely high. Tool assessing regulatory compliance must itself be validated - a recursive validation challenge.</t>
        </is>
      </c>
      <c r="E18" s="7" t="n"/>
      <c r="F18" s="7" t="n"/>
    </row>
    <row r="19" ht="30" customHeight="1">
      <c r="A19" s="8" t="n"/>
      <c r="B19" s="5" t="inlineStr">
        <is>
          <t>Are metrics being tracked now, or does tracking need to be built?</t>
        </is>
      </c>
      <c r="C19" s="6" t="n">
        <v>1</v>
      </c>
      <c r="D19" s="7" t="inlineStr">
        <is>
          <t>Not tracked at all. Must be built from scratch.</t>
        </is>
      </c>
      <c r="E19" s="7" t="n"/>
      <c r="F19" s="7" t="n"/>
    </row>
    <row r="20" ht="22" customHeight="1">
      <c r="A20" s="62" t="n"/>
      <c r="B20" s="22" t="inlineStr">
        <is>
          <t>Bucket Aggregate (avg of question scores)</t>
        </is>
      </c>
      <c r="C20" s="23">
        <f>IFERROR(AVERAGE(C14:C19),"")</f>
        <v/>
      </c>
      <c r="D20" s="24" t="n"/>
      <c r="E20" s="25" t="inlineStr">
        <is>
          <t>Bucket Weight (editable):</t>
        </is>
      </c>
      <c r="F20" s="14" t="n">
        <v>2</v>
      </c>
    </row>
    <row r="21" ht="22" customHeight="1">
      <c r="A21" s="63" t="n"/>
      <c r="B21" s="27" t="inlineStr">
        <is>
          <t>Weighted Score  (aggregate × bucket weight)</t>
        </is>
      </c>
      <c r="C21" s="28">
        <f>IFERROR(C20*F20,"")</f>
        <v/>
      </c>
      <c r="D21" s="64" t="inlineStr">
        <is>
          <t>1 = very costly  |  5 = very affordable</t>
        </is>
      </c>
      <c r="E21" s="63" t="n"/>
      <c r="F21" s="63" t="n"/>
    </row>
    <row r="22" ht="6" customHeight="1"/>
    <row r="23" ht="30" customHeight="1">
      <c r="A23" s="65" t="inlineStr">
        <is>
          <t>EFFORT</t>
        </is>
      </c>
      <c r="B23" s="5" t="inlineStr">
        <is>
          <t>Can we build a prototype that proves the case in 48 hrs / 1 week / 2 weeks?</t>
        </is>
      </c>
      <c r="C23" s="6" t="n">
        <v>1</v>
      </c>
      <c r="D23" s="7" t="inlineStr">
        <is>
          <t>Not feasible without resolving Accuris access. No prototypable path today.</t>
        </is>
      </c>
      <c r="E23" s="7" t="n"/>
      <c r="F23" s="7" t="n"/>
    </row>
    <row r="24" ht="30" customHeight="1">
      <c r="B24" s="5" t="inlineStr">
        <is>
          <t>What are the risks that would prevent the prototype from being completed?</t>
        </is>
      </c>
      <c r="C24" s="6" t="n">
        <v>1</v>
      </c>
      <c r="D24" s="7" t="inlineStr">
        <is>
          <t>Accuris encryption is a hard blocker. Even if licensed, integration path is undefined.</t>
        </is>
      </c>
      <c r="E24" s="7" t="n"/>
      <c r="F24" s="7" t="n"/>
    </row>
    <row r="25" ht="30" customHeight="1">
      <c r="B25" s="5" t="inlineStr">
        <is>
          <t>What does the prototype need to demonstrate? What is the happy path journey?</t>
        </is>
      </c>
      <c r="C25" s="6" t="n">
        <v>2</v>
      </c>
      <c r="D25" s="7" t="inlineStr">
        <is>
          <t>Vague - depends on Accuris output format. More discovery needed before happy path can be defined.</t>
        </is>
      </c>
      <c r="E25" s="7" t="n"/>
      <c r="F25" s="7" t="n"/>
    </row>
    <row r="26" ht="30" customHeight="1">
      <c r="B26" s="5" t="inlineStr">
        <is>
          <t>Does the data exist today in accessible form? Can it be synthesized if not?</t>
        </is>
      </c>
      <c r="C26" s="6" t="n">
        <v>1</v>
      </c>
      <c r="D26" s="7" t="inlineStr">
        <is>
          <t>Accuris downloads exist but are encrypted. Cannot access without resolving licensing architecture.</t>
        </is>
      </c>
      <c r="E26" s="7" t="n"/>
      <c r="F26" s="7" t="n"/>
    </row>
    <row r="27" ht="30" customHeight="1">
      <c r="B27" s="5" t="inlineStr">
        <is>
          <t>How data-dependent is the use case?</t>
        </is>
      </c>
      <c r="C27" s="6" t="n">
        <v>2</v>
      </c>
      <c r="D27" s="7" t="inlineStr">
        <is>
          <t>Completely dependent on Accuris access. Without it, there is no use case.</t>
        </is>
      </c>
      <c r="E27" s="7" t="n"/>
      <c r="F27" s="7" t="n"/>
    </row>
    <row r="28" ht="30" customHeight="1">
      <c r="B28" s="5" t="inlineStr">
        <is>
          <t>What is the volume and quality of the data? Is it structured? Is there metadata?</t>
        </is>
      </c>
      <c r="C28" s="6" t="n">
        <v>2</v>
      </c>
      <c r="D28" s="7" t="inlineStr">
        <is>
          <t>Unknown - encrypted. Cannot assess volume or quality.</t>
        </is>
      </c>
      <c r="E28" s="7" t="n"/>
      <c r="F28" s="7" t="n"/>
    </row>
    <row r="29" ht="30" customHeight="1">
      <c r="B29" s="5" t="inlineStr">
        <is>
          <t>What system is the data in? Can we access it? Can we get a working sample?</t>
        </is>
      </c>
      <c r="C29" s="6" t="n">
        <v>1</v>
      </c>
      <c r="D29" s="7" t="inlineStr">
        <is>
          <t>Accuris (licensed). Integration path completely undefined.</t>
        </is>
      </c>
      <c r="E29" s="7" t="n"/>
      <c r="F29" s="7" t="n"/>
    </row>
    <row r="30" ht="30" customHeight="1">
      <c r="A30" s="8" t="n"/>
      <c r="B30" s="5" t="inlineStr">
        <is>
          <t>Is the data disparate or in one area?</t>
        </is>
      </c>
      <c r="C30" s="6" t="n">
        <v>2</v>
      </c>
      <c r="D30" s="7" t="inlineStr">
        <is>
          <t>Accuris standards + corporate SOPs + labeling procedures across global markets. Multiple disparate sources.</t>
        </is>
      </c>
      <c r="E30" s="7" t="n"/>
      <c r="F30" s="7" t="n"/>
    </row>
    <row r="31" ht="22" customHeight="1">
      <c r="A31" s="66" t="n"/>
      <c r="B31" s="33" t="inlineStr">
        <is>
          <t>Bucket Aggregate (avg of question scores)</t>
        </is>
      </c>
      <c r="C31" s="34">
        <f>IFERROR(AVERAGE(C23:C30),"")</f>
        <v/>
      </c>
      <c r="D31" s="35" t="n"/>
      <c r="E31" s="36" t="inlineStr">
        <is>
          <t>Bucket Weight (editable):</t>
        </is>
      </c>
      <c r="F31" s="14" t="n">
        <v>3</v>
      </c>
    </row>
    <row r="32" ht="22" customHeight="1">
      <c r="A32" s="67" t="n"/>
      <c r="B32" s="38" t="inlineStr">
        <is>
          <t>Weighted Score  (aggregate × bucket weight)</t>
        </is>
      </c>
      <c r="C32" s="39">
        <f>IFERROR(C31*F31,"")</f>
        <v/>
      </c>
      <c r="D32" s="68" t="inlineStr">
        <is>
          <t>1 = most difficult  |  5 = easiest</t>
        </is>
      </c>
      <c r="E32" s="67" t="n"/>
      <c r="F32" s="67" t="n"/>
    </row>
    <row r="33" ht="6" customHeight="1"/>
    <row r="34" ht="30" customHeight="1">
      <c r="A34" s="69" t="inlineStr">
        <is>
          <t>REACH</t>
        </is>
      </c>
      <c r="B34" s="5" t="inlineStr">
        <is>
          <t>How reusable is the solution across teams or use cases?</t>
        </is>
      </c>
      <c r="C34" s="6" t="n">
        <v>5</v>
      </c>
      <c r="D34" s="7" t="inlineStr">
        <is>
          <t>If built, applicable to all global labeling teams across all Stryker divisions. Maximum reuse potential.</t>
        </is>
      </c>
      <c r="E34" s="7" t="n"/>
      <c r="F34" s="7" t="n"/>
    </row>
    <row r="35" ht="30" customHeight="1">
      <c r="B35" s="5" t="inlineStr">
        <is>
          <t>Does this amplify AI strategy throughout Stryker?</t>
        </is>
      </c>
      <c r="C35" s="6" t="n">
        <v>5</v>
      </c>
      <c r="D35" s="7" t="inlineStr">
        <is>
          <t>Proactive compliance monitoring is high-differentiation AI. Positions Stryker ahead of regulatory change curve.</t>
        </is>
      </c>
      <c r="E35" s="7" t="n"/>
      <c r="F35" s="7" t="n"/>
    </row>
    <row r="36" ht="30" customHeight="1">
      <c r="B36" s="5" t="inlineStr">
        <is>
          <t>Is this a business strategic priority?</t>
        </is>
      </c>
      <c r="C36" s="6" t="n">
        <v>3</v>
      </c>
      <c r="D36" s="7" t="inlineStr">
        <is>
          <t>Medium - not a burning platform today but a real risk. RA manages current process.</t>
        </is>
      </c>
      <c r="E36" s="7" t="n"/>
      <c r="F36" s="7" t="n"/>
    </row>
    <row r="37" ht="30" customHeight="1">
      <c r="B37" s="5" t="inlineStr">
        <is>
          <t>Does this involve key partnerships or represent a quick win?</t>
        </is>
      </c>
      <c r="C37" s="6" t="n">
        <v>1</v>
      </c>
      <c r="D37" s="7" t="inlineStr">
        <is>
          <t>Not a quick win. Long timeline, hard data blocker, no near-term delivery path.</t>
        </is>
      </c>
      <c r="E37" s="7" t="n"/>
      <c r="F37" s="7" t="n"/>
    </row>
    <row r="38" ht="30" customHeight="1">
      <c r="A38" s="8" t="n"/>
      <c r="B38" s="5" t="inlineStr">
        <is>
          <t>How does the prototype prove the business case beyond the immediate use case?</t>
        </is>
      </c>
      <c r="C38" s="6" t="n">
        <v>3</v>
      </c>
      <c r="D38" s="7" t="inlineStr">
        <is>
          <t>Complements New Label Creation - reg requirements fed into creation workflow. Less proven standalone.</t>
        </is>
      </c>
      <c r="E38" s="7" t="n"/>
      <c r="F38" s="7" t="n"/>
    </row>
    <row r="39" ht="22" customHeight="1">
      <c r="A39" s="70" t="n"/>
      <c r="B39" s="44" t="inlineStr">
        <is>
          <t>Bucket Aggregate (avg of question scores)</t>
        </is>
      </c>
      <c r="C39" s="45">
        <f>IFERROR(AVERAGE(C34:C38),"")</f>
        <v/>
      </c>
      <c r="D39" s="46" t="n"/>
      <c r="E39" s="47" t="inlineStr">
        <is>
          <t>Bucket Weight (editable):</t>
        </is>
      </c>
      <c r="F39" s="14" t="n">
        <v>4</v>
      </c>
    </row>
    <row r="40" ht="22" customHeight="1">
      <c r="A40" s="71" t="n"/>
      <c r="B40" s="49" t="inlineStr">
        <is>
          <t>Weighted Score  (aggregate × bucket weight)</t>
        </is>
      </c>
      <c r="C40" s="50">
        <f>IFERROR(C39*F39,"")</f>
        <v/>
      </c>
      <c r="D40" s="72" t="inlineStr">
        <is>
          <t>1 = most niche  |  5 = broad and reusable</t>
        </is>
      </c>
      <c r="E40" s="71" t="n"/>
      <c r="F40" s="71" t="n"/>
    </row>
    <row r="41" ht="6" customHeight="1"/>
    <row r="42" ht="30" customHeight="1">
      <c r="A42" s="73" t="inlineStr">
        <is>
          <t>FINAL COMPOSITE SCORE</t>
        </is>
      </c>
      <c r="B42" s="74" t="n"/>
      <c r="C42" s="55">
        <f>IFERROR(C12+C21+C32+C40,"")</f>
        <v/>
      </c>
      <c r="D42" s="75" t="inlineStr">
        <is>
          <t>Max possible score = 70  (all 5s, default weights)  |  Risk modifier: Risk = Effort / Cost</t>
        </is>
      </c>
      <c r="E42" s="74" t="n"/>
      <c r="F42" s="74" t="n"/>
    </row>
  </sheetData>
  <mergeCells count="22">
    <mergeCell ref="D32:F32"/>
    <mergeCell ref="B20"/>
    <mergeCell ref="A2:F2"/>
    <mergeCell ref="A4:A10"/>
    <mergeCell ref="D12:F12"/>
    <mergeCell ref="B31"/>
    <mergeCell ref="D42:F42"/>
    <mergeCell ref="A34:A38"/>
    <mergeCell ref="B39"/>
    <mergeCell ref="B11"/>
    <mergeCell ref="A42:B42"/>
    <mergeCell ref="A20:A21"/>
    <mergeCell ref="A14:A19"/>
    <mergeCell ref="A11:A12"/>
    <mergeCell ref="A1:F1"/>
    <mergeCell ref="A39:A40"/>
    <mergeCell ref="D40:F40"/>
    <mergeCell ref="A23:A30"/>
    <mergeCell ref="A31:A32"/>
    <mergeCell ref="D21:F21"/>
    <mergeCell ref="C3:D3"/>
    <mergeCell ref="E3:F3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2026-04-22T19:38:59Z</dcterms:created>
  <dcterms:modified xmlns:dcterms="http://purl.org/dc/terms/" xmlns:xsi="http://www.w3.org/2001/XMLSchema-instance" xsi:type="dcterms:W3CDTF">2026-04-27T20:28:20Z</dcterms:modified>
</cp:coreProperties>
</file>